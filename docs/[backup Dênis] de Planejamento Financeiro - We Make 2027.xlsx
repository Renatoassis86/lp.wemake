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7" sheetId="2" r:id="rId6"/>
    <sheet state="visible" name="Alunos_escola_livros" sheetId="3" r:id="rId7"/>
  </sheets>
  <definedNames/>
  <calcPr/>
</workbook>
</file>

<file path=xl/sharedStrings.xml><?xml version="1.0" encoding="utf-8"?>
<sst xmlns="http://schemas.openxmlformats.org/spreadsheetml/2006/main" count="309" uniqueCount="193">
  <si>
    <t>Planejamento 2027 - We Make</t>
  </si>
  <si>
    <t>Planejamento 2026 - We Make</t>
  </si>
  <si>
    <t>Escola</t>
  </si>
  <si>
    <t>Quantidade de alunos</t>
  </si>
  <si>
    <t>Contratos (2026)</t>
  </si>
  <si>
    <t>jan</t>
  </si>
  <si>
    <t>Mês</t>
  </si>
  <si>
    <t>fev</t>
  </si>
  <si>
    <t>Infantil IV</t>
  </si>
  <si>
    <t>Ano</t>
  </si>
  <si>
    <t>mar</t>
  </si>
  <si>
    <t>abr</t>
  </si>
  <si>
    <t>mai</t>
  </si>
  <si>
    <t>Infantil V</t>
  </si>
  <si>
    <t>jun</t>
  </si>
  <si>
    <t>1º ano Ensino Fundamental I</t>
  </si>
  <si>
    <t>jul</t>
  </si>
  <si>
    <t>Colégio Graciosa (ano 3/3)</t>
  </si>
  <si>
    <t>ago</t>
  </si>
  <si>
    <t>set</t>
  </si>
  <si>
    <t>out</t>
  </si>
  <si>
    <t>2º ano Ensino Fundamental I</t>
  </si>
  <si>
    <t>nov</t>
  </si>
  <si>
    <t>3º ano Ensino Fundamental I</t>
  </si>
  <si>
    <t>dez</t>
  </si>
  <si>
    <t>4º ano Ensino Fundamental I</t>
  </si>
  <si>
    <t>5º ano Ensino Fundamental I</t>
  </si>
  <si>
    <t>6º ano Ensino Fundamental II</t>
  </si>
  <si>
    <t>7º ano Ensino Fundamental II</t>
  </si>
  <si>
    <t>8º ano Ensino Fundamental II</t>
  </si>
  <si>
    <t>Observações</t>
  </si>
  <si>
    <t>9º ano Ensino Fundamental II</t>
  </si>
  <si>
    <t>1ª série Ensino Médio - Programação e Jogos (Ensino Médio)</t>
  </si>
  <si>
    <t>2ª série Ensino Médio - Modelagem e Impressão 3D (Ensino Médio)</t>
  </si>
  <si>
    <t>3ª série Ensino Médio - Robótica e Automação (Ensino Médio)</t>
  </si>
  <si>
    <t>Colégio Graciosa (ano 1/4)</t>
  </si>
  <si>
    <t>Total</t>
  </si>
  <si>
    <t>Colégio Presbiteriano de Sete Lagoas (rescisão)</t>
  </si>
  <si>
    <t>Colégio Cristão Amar (ano 2/4)</t>
  </si>
  <si>
    <t>Colégio Journey (ano 2/5)</t>
  </si>
  <si>
    <t>Executivo Colégio e Curso (gratuito)</t>
  </si>
  <si>
    <t>Escola Cristã do Reino (1/4)</t>
  </si>
  <si>
    <t>Livro incluso</t>
  </si>
  <si>
    <t>Escola Aprender e Viver (1/4)</t>
  </si>
  <si>
    <t>Educar Londrina (1/4)</t>
  </si>
  <si>
    <t>Colégio Cristão Amar (ano 3/4)</t>
  </si>
  <si>
    <t>CESE (1/4)</t>
  </si>
  <si>
    <t>CEA (1/4)</t>
  </si>
  <si>
    <t>Sagrados corações (1/4)</t>
  </si>
  <si>
    <t>ACR Classical Christian School</t>
  </si>
  <si>
    <t>Colégio Journey (ano 3/5)</t>
  </si>
  <si>
    <t>Rescisão</t>
  </si>
  <si>
    <t>Escola Cristã do Reino (2/4)</t>
  </si>
  <si>
    <t>Pagam hoje por aluno 345,00. Podemos aumentar 380,00 com o livro.</t>
  </si>
  <si>
    <t>Escola Aprender e Viver (2/4)</t>
  </si>
  <si>
    <t>Pagam hoje por aluno 288,00. Podemos aumentar 360,00 com o livro.</t>
  </si>
  <si>
    <t>Educar Londrina (2/4)</t>
  </si>
  <si>
    <t>CESE (2/4)</t>
  </si>
  <si>
    <t>Pagam hoje por aluno 249,00. Podemos aumentar 310,00 com o livro.</t>
  </si>
  <si>
    <t>CEA (2/4)</t>
  </si>
  <si>
    <t>Sagrados corações (2/4)</t>
  </si>
  <si>
    <t>Pagam hoje por aluno 198,00. Podemos aumentar 350,00 com o livro.</t>
  </si>
  <si>
    <t>ACR Classical Christian School (2/4)</t>
  </si>
  <si>
    <t>Pagam hoje por aluno 180,00. Podemos aumentar 300,00 com o livro.</t>
  </si>
  <si>
    <t>Escola Cristã Paz (1/4)</t>
  </si>
  <si>
    <t>Pagam hoje por aluno 180,00. Podemos aumentar 280,00 com o livro.</t>
  </si>
  <si>
    <t>Pagam hoje por aluno 210,00. Podemos aumentar 350 com o livro.</t>
  </si>
  <si>
    <t>Colégio da Comunidade - Curuçá (1/4)</t>
  </si>
  <si>
    <t>Pagam hoje por aluno 279,00. Podemos aumentar 350 com o livro.</t>
  </si>
  <si>
    <t>Colégio da Comunidade - Carrão (1/4)</t>
  </si>
  <si>
    <t>Escola nova. Pagam hoje por aluno 250,80. Podemos aumentar 350,00 com o livro.</t>
  </si>
  <si>
    <t>Escola Estímulos (1/4)</t>
  </si>
  <si>
    <t>Colégio Cristão Reverendo Olavo Nunes (1/4)</t>
  </si>
  <si>
    <t>Colégio Cristão Zoe (1/4)</t>
  </si>
  <si>
    <t>Sorteio</t>
  </si>
  <si>
    <t>Colégio Lighthouse F1 (1/4)</t>
  </si>
  <si>
    <t>Colégio Lighthouse F2 (1/4)</t>
  </si>
  <si>
    <t>Bee Christian School (1/5)</t>
  </si>
  <si>
    <t>For Life (1/4)</t>
  </si>
  <si>
    <t>Escola Supremo</t>
  </si>
  <si>
    <t>Gasto Corrente</t>
  </si>
  <si>
    <t>total</t>
  </si>
  <si>
    <t>DESPESA TOTAL</t>
  </si>
  <si>
    <t>PESSOAL (CLT e PJ recorrente)</t>
  </si>
  <si>
    <t>Emnanuel</t>
  </si>
  <si>
    <t>Faturamento</t>
  </si>
  <si>
    <t>CEO - Denis Julio</t>
  </si>
  <si>
    <t xml:space="preserve">Escola </t>
  </si>
  <si>
    <t>Gerente Administrativo - Renato Assis</t>
  </si>
  <si>
    <t>Faculdade</t>
  </si>
  <si>
    <t>Analista de Marketing - Emanuel Peixoto</t>
  </si>
  <si>
    <t>Education</t>
  </si>
  <si>
    <t>Consultor pedagógico 1 - Suzana</t>
  </si>
  <si>
    <t>Dr. Marcos</t>
  </si>
  <si>
    <t>Consultor pedagógico 2</t>
  </si>
  <si>
    <t xml:space="preserve">Centro Paraibano </t>
  </si>
  <si>
    <t>Representante Comercial - Christiano Bonifazio</t>
  </si>
  <si>
    <t>We Make</t>
  </si>
  <si>
    <t>Contador</t>
  </si>
  <si>
    <t>Pet Shop</t>
  </si>
  <si>
    <t>Atendente comercial</t>
  </si>
  <si>
    <t>Treinamento de pessoal</t>
  </si>
  <si>
    <t>Pós-graduação em Educação Cristã Clássica para Suzana Bonifazio</t>
  </si>
  <si>
    <t>Pós-graduação em Educação Cristã Clássica para Christiano Bonifazio</t>
  </si>
  <si>
    <t>Pós-graduação em Educação Cristã Clássica para Gabi</t>
  </si>
  <si>
    <t>PRODUÇÃO</t>
  </si>
  <si>
    <t>Autoria</t>
  </si>
  <si>
    <t>Programação Criativa - Nível I (Homeschooling)</t>
  </si>
  <si>
    <t>Programação Criativa - Nível II (Homeschooling)</t>
  </si>
  <si>
    <t>Engenharia e Prototipagem - Nível I (Homeschooling)</t>
  </si>
  <si>
    <t>Ilustração</t>
  </si>
  <si>
    <t>Diagramação</t>
  </si>
  <si>
    <t>Revisão ortográfica e editorial</t>
  </si>
  <si>
    <t>PRODUÇÃO AUDIOVISUAL</t>
  </si>
  <si>
    <t>Designer 1</t>
  </si>
  <si>
    <t>Captação de videos e imagens em eventos</t>
  </si>
  <si>
    <t>Social Midia</t>
  </si>
  <si>
    <t>Gravação, edição e entrega de vídeos tutoriais (144 vídeos)</t>
  </si>
  <si>
    <t>Video maker</t>
  </si>
  <si>
    <t>Designer 2</t>
  </si>
  <si>
    <t>PRODUÇÃO GRÁFICA / IMPRESSÃO</t>
  </si>
  <si>
    <t>Impressão dos livros do infatil 4 ao 3º ano do ensino médio (aluno)</t>
  </si>
  <si>
    <t>Impressão de adesivos para standers</t>
  </si>
  <si>
    <t>Produção de folders comerciais</t>
  </si>
  <si>
    <t>TECNOLOGIA</t>
  </si>
  <si>
    <t>Domínio</t>
  </si>
  <si>
    <t>Google Workspace</t>
  </si>
  <si>
    <t>Canva Pro</t>
  </si>
  <si>
    <t>Capcut</t>
  </si>
  <si>
    <t>Chat GPT</t>
  </si>
  <si>
    <t>RD Station</t>
  </si>
  <si>
    <t>Tecnologia</t>
  </si>
  <si>
    <t>Panda Vídeo</t>
  </si>
  <si>
    <t>Plataforma Arkos</t>
  </si>
  <si>
    <t>MARKETING &amp; PUBLICIDADE</t>
  </si>
  <si>
    <t>Conteúdo para publicação em redes sociais e sites do Cidade Viva Education</t>
  </si>
  <si>
    <t>Tráfego para as mídias digitais e estratégias de marketing</t>
  </si>
  <si>
    <t>Criação de designer landing page e criativos</t>
  </si>
  <si>
    <t>Materiais gráficos e itens de papelaria utilizados para marketing</t>
  </si>
  <si>
    <t>Participação e exposição na Expohomeschooling 2027</t>
  </si>
  <si>
    <t>Participação e exposição na AECEP 2027</t>
  </si>
  <si>
    <t>Participação e exposição na ACSI</t>
  </si>
  <si>
    <t>Participação e exposição na ASPEN</t>
  </si>
  <si>
    <t>Participação no 3º Congresso Internacional de Educação Cristã Clássica em BSB</t>
  </si>
  <si>
    <t>COMERCIAL &amp; RELACIONAMENTO</t>
  </si>
  <si>
    <t>Elaboração de material de encantamento (Planners, cortesias, amostras de livros, garrafas, botons, canetas etc)</t>
  </si>
  <si>
    <t>Produção de placas parceiro we make</t>
  </si>
  <si>
    <t>Produtos de cortesia e bonificação para escolas para campanha comercial</t>
  </si>
  <si>
    <t>LOGÍSTICA &amp; DISTRIBUIÇÃO</t>
  </si>
  <si>
    <t>Despesas com frete de livros</t>
  </si>
  <si>
    <t>Envio de material de encantamento (Planners, cortesias, amostras de livros, garrafas, botons, canetas etc)</t>
  </si>
  <si>
    <t>Despesas com envio de placas We Make</t>
  </si>
  <si>
    <t>TAXAS &amp; SERVIÇOS FINANCEIROS</t>
  </si>
  <si>
    <t>Tarifas bancárias relacionadas à conta corrente</t>
  </si>
  <si>
    <t>Imposto (7,59% do faturamento)</t>
  </si>
  <si>
    <t xml:space="preserve">Perdas (inadimplência) 2% sobre o valor total de vendas </t>
  </si>
  <si>
    <t>Fundo de reserva</t>
  </si>
  <si>
    <t>REGULATÓRIOS, PROPRIEDADE INTELECTUAL &amp; TAXAS LEGAIS</t>
  </si>
  <si>
    <t>ISBN infantil 2 - Livro do Aluno e professor -  impresso e digital</t>
  </si>
  <si>
    <t>ISBN infantil 3 - Livro do Aluno e professor  -  impresso e digital</t>
  </si>
  <si>
    <t>ISBN infantil 4 - Livro do Aluno e professor  -  impresso e digital</t>
  </si>
  <si>
    <t>ISBN infantil 5 - Livro do Aluno e professor  -  impresso e digital</t>
  </si>
  <si>
    <t>ISBN 1º Ano - Livro do Aluno e professor  -  impresso e digital</t>
  </si>
  <si>
    <t>ISBN 2º Ano - Livro do Aluno e professor  -  impresso e digital</t>
  </si>
  <si>
    <t>ISBN 3º Ano - Livro do Aluno e professor  -  impresso e digital</t>
  </si>
  <si>
    <t>ISBN 4º Ano - Livro do Aluno e professor  -  impresso e digital</t>
  </si>
  <si>
    <t>ISBN 5º Ano - Livro do Aluno e professor  -  impresso e digital</t>
  </si>
  <si>
    <t>ISBN 6º Ano - Livro do Aluno e professor  -  impresso e digital</t>
  </si>
  <si>
    <t>ISBN 7º Ano - Livro do Aluno e professor  -  impresso e digital</t>
  </si>
  <si>
    <t>ISBN 8º Ano - Livro do Aluno e professor  -  impresso e digital</t>
  </si>
  <si>
    <t>ISBN 9º Ano - Livro do Aluno e professor  -  impresso e digital</t>
  </si>
  <si>
    <t>ISBN 1º Ano médio - Livro do Aluno e professor  -  impresso e digital</t>
  </si>
  <si>
    <t>ISBN 2º Ano médio - Livro do Aluno e professor  -  impresso e digital</t>
  </si>
  <si>
    <t xml:space="preserve">ISBN 3º Ano médio - Livro do Aluno e professor -  impresso e digital </t>
  </si>
  <si>
    <t>Registro da marca e personagens do sistema</t>
  </si>
  <si>
    <t>Assessoria jurídica para encaminhamento de registro de marcas</t>
  </si>
  <si>
    <t>VIAGENS &amp; REPRESENTAÇÃO</t>
  </si>
  <si>
    <t>Alimentação</t>
  </si>
  <si>
    <t>Hospedagem para viagens de consultoria</t>
  </si>
  <si>
    <t>Passagens aereas para participação em eventos e realização de consultoria</t>
  </si>
  <si>
    <t>Aluguel de veículos para realização de consultoria</t>
  </si>
  <si>
    <t>Transporte para viagens de consultoria (UBER)</t>
  </si>
  <si>
    <t>INFRAESTRUTURA &amp; UTILIDADES</t>
  </si>
  <si>
    <t>Energia</t>
  </si>
  <si>
    <t>Caixa Postal</t>
  </si>
  <si>
    <t>Insumos e suprimentos</t>
  </si>
  <si>
    <t>Despesas com telefonia</t>
  </si>
  <si>
    <t>Material de expediente</t>
  </si>
  <si>
    <t>Distribuição de água e saneamento</t>
  </si>
  <si>
    <t>Despesas com serviços gerais</t>
  </si>
  <si>
    <t>Aluguel de espaço da Sede da We Make</t>
  </si>
  <si>
    <t>Internet</t>
  </si>
  <si>
    <t>Resultado operacional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</si>
</sst>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5">
    <font>
      <sz val="10.0"/>
      <color rgb="FF000000"/>
      <name val="Arial"/>
      <scheme val="minor"/>
    </font>
    <font>
      <b/>
      <sz val="13.0"/>
      <color theme="1"/>
      <name val="Sora"/>
    </font>
    <font>
      <b/>
      <color theme="1"/>
      <name val="Arial"/>
      <scheme val="minor"/>
    </font>
    <font>
      <color theme="1"/>
      <name val="Arial"/>
    </font>
    <font>
      <b/>
      <sz val="12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  <font>
      <b/>
      <sz val="9.0"/>
      <color rgb="FFFFFFFF"/>
      <name val="Inter"/>
    </font>
    <font>
      <color rgb="FFFF0000"/>
      <name val="Arial"/>
    </font>
    <font>
      <color rgb="FF000000"/>
      <name val="Arial"/>
    </font>
    <font>
      <color rgb="FFFF0000"/>
      <name val="Arial"/>
      <scheme val="minor"/>
    </font>
    <font>
      <b/>
      <sz val="13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86C6FF"/>
        <bgColor rgb="FF86C6FF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059669"/>
        <bgColor rgb="FF059669"/>
      </patternFill>
    </fill>
    <fill>
      <patternFill patternType="solid">
        <fgColor rgb="FFFFFF00"/>
        <bgColor rgb="FFFFFF00"/>
      </patternFill>
    </fill>
    <fill>
      <patternFill patternType="solid">
        <fgColor rgb="FF16A34A"/>
        <bgColor rgb="FF16A34A"/>
      </patternFill>
    </fill>
    <fill>
      <patternFill patternType="solid">
        <fgColor rgb="FF4D7C0F"/>
        <bgColor rgb="FF4D7C0F"/>
      </patternFill>
    </fill>
    <fill>
      <patternFill patternType="solid">
        <fgColor rgb="FF047857"/>
        <bgColor rgb="FF047857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  <fill>
      <patternFill patternType="solid">
        <fgColor rgb="FF65A30D"/>
        <bgColor rgb="FF65A30D"/>
      </patternFill>
    </fill>
    <fill>
      <patternFill patternType="solid">
        <fgColor rgb="FF0D9488"/>
        <bgColor rgb="FF0D9488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2" fontId="3" numFmtId="0" xfId="0" applyAlignment="1" applyFill="1" applyFont="1">
      <alignment vertical="bottom"/>
    </xf>
    <xf borderId="2" fillId="0" fontId="2" numFmtId="0" xfId="0" applyAlignment="1" applyBorder="1" applyFont="1">
      <alignment horizontal="center" readingOrder="0"/>
    </xf>
    <xf borderId="0" fillId="2" fontId="4" numFmtId="0" xfId="0" applyAlignment="1" applyFill="1" applyFont="1">
      <alignment vertical="bottom"/>
    </xf>
    <xf borderId="3" fillId="0" fontId="5" numFmtId="0" xfId="0" applyBorder="1" applyFont="1"/>
    <xf borderId="4" fillId="0" fontId="5" numFmtId="0" xfId="0" applyBorder="1" applyFont="1"/>
    <xf borderId="0" fillId="2" fontId="4" numFmtId="164" xfId="0" applyAlignment="1" applyFill="1" applyFont="1" applyNumberFormat="1">
      <alignment horizontal="center" readingOrder="0" vertical="bottom"/>
    </xf>
    <xf borderId="5" fillId="0" fontId="5" numFmtId="0" xfId="0" applyBorder="1" applyFont="1"/>
    <xf borderId="0" fillId="2" fontId="4" numFmtId="164" xfId="0" applyAlignment="1" applyFill="1" applyFont="1" applyNumberFormat="1">
      <alignment horizontal="center" vertical="bottom"/>
    </xf>
    <xf borderId="0" fillId="2" fontId="4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horizontal="center" vertical="bottom"/>
    </xf>
    <xf borderId="6" fillId="3" fontId="3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164" xfId="0" applyAlignment="1" applyFill="1" applyFont="1" applyNumberFormat="1">
      <alignment horizontal="right" vertical="bottom"/>
    </xf>
    <xf borderId="0" fillId="4" fontId="3" numFmtId="0" xfId="0" applyAlignment="1" applyFill="1" applyFont="1">
      <alignment horizontal="left" vertical="center"/>
    </xf>
    <xf borderId="0" fillId="4" fontId="3" numFmtId="0" xfId="0" applyAlignment="1" applyFill="1" applyFont="1">
      <alignment horizontal="left" readingOrder="0" vertical="center"/>
    </xf>
    <xf borderId="6" fillId="3" fontId="6" numFmtId="0" xfId="0" applyAlignment="1" applyBorder="1" applyFill="1" applyFon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readingOrder="0" vertical="center"/>
    </xf>
    <xf borderId="6" fillId="4" fontId="3" numFmtId="0" xfId="0" applyAlignment="1" applyBorder="1" applyFill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vertical="bottom"/>
    </xf>
    <xf borderId="0" fillId="5" fontId="3" numFmtId="164" xfId="0" applyAlignment="1" applyFill="1" applyFont="1" applyNumberFormat="1">
      <alignment horizontal="center" vertical="center"/>
    </xf>
    <xf borderId="0" fillId="0" fontId="7" numFmtId="0" xfId="0" applyAlignment="1" applyFont="1">
      <alignment readingOrder="0"/>
    </xf>
    <xf borderId="6" fillId="0" fontId="7" numFmtId="0" xfId="0" applyAlignment="1" applyBorder="1" applyFont="1">
      <alignment horizontal="center" vertical="center"/>
    </xf>
    <xf borderId="0" fillId="3" fontId="3" numFmtId="0" xfId="0" applyAlignment="1" applyFill="1" applyFont="1">
      <alignment horizontal="left" vertical="center"/>
    </xf>
    <xf borderId="0" fillId="4" fontId="3" numFmtId="164" xfId="0" applyAlignment="1" applyFill="1" applyFont="1" applyNumberFormat="1">
      <alignment horizontal="center" vertical="center"/>
    </xf>
    <xf borderId="0" fillId="6" fontId="7" numFmtId="0" xfId="0" applyAlignment="1" applyFill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6" fillId="4" fontId="3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readingOrder="0" shrinkToFit="0" vertical="center" wrapText="1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6" fontId="7" numFmtId="0" xfId="0" applyAlignment="1" applyFill="1" applyFont="1">
      <alignment horizontal="center" shrinkToFit="0" vertical="center" wrapText="1"/>
    </xf>
    <xf borderId="0" fillId="5" fontId="7" numFmtId="164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7" fontId="8" numFmtId="0" xfId="0" applyFill="1" applyFont="1"/>
    <xf borderId="0" fillId="7" fontId="9" numFmtId="0" xfId="0" applyAlignment="1" applyFill="1" applyFont="1">
      <alignment readingOrder="0"/>
    </xf>
    <xf borderId="6" fillId="4" fontId="6" numFmtId="0" xfId="0" applyAlignment="1" applyBorder="1" applyFill="1" applyFont="1">
      <alignment horizontal="left" readingOrder="0" vertical="center"/>
    </xf>
    <xf borderId="0" fillId="7" fontId="8" numFmtId="164" xfId="0" applyAlignment="1" applyFill="1" applyFont="1" applyNumberFormat="1">
      <alignment horizontal="center"/>
    </xf>
    <xf borderId="0" fillId="7" fontId="9" numFmtId="164" xfId="0" applyFill="1" applyFont="1" applyNumberFormat="1"/>
    <xf borderId="0" fillId="0" fontId="2" numFmtId="0" xfId="0" applyFont="1"/>
    <xf borderId="0" fillId="8" fontId="3" numFmtId="0" xfId="0" applyAlignment="1" applyFill="1" applyFont="1">
      <alignment vertical="bottom"/>
    </xf>
    <xf borderId="0" fillId="8" fontId="4" numFmtId="0" xfId="0" applyAlignment="1" applyFill="1" applyFont="1">
      <alignment vertical="bottom"/>
    </xf>
    <xf borderId="0" fillId="8" fontId="4" numFmtId="164" xfId="0" applyAlignment="1" applyFill="1" applyFont="1" applyNumberFormat="1">
      <alignment horizontal="center" readingOrder="0" vertical="bottom"/>
    </xf>
    <xf borderId="0" fillId="8" fontId="4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right" vertical="bottom"/>
    </xf>
    <xf borderId="0" fillId="9" fontId="10" numFmtId="0" xfId="0" applyAlignment="1" applyFill="1" applyFont="1">
      <alignment horizontal="left" readingOrder="0"/>
    </xf>
    <xf borderId="0" fillId="9" fontId="10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0" fillId="3" fontId="3" numFmtId="0" xfId="0" applyAlignment="1" applyFill="1" applyFont="1">
      <alignment readingOrder="0" vertical="bottom"/>
    </xf>
    <xf borderId="0" fillId="10" fontId="3" numFmtId="164" xfId="0" applyAlignment="1" applyFill="1" applyFont="1" applyNumberFormat="1">
      <alignment horizontal="center" readingOrder="0" vertical="center"/>
    </xf>
    <xf borderId="0" fillId="3" fontId="3" numFmtId="164" xfId="0" applyAlignment="1" applyFill="1" applyFont="1" applyNumberFormat="1">
      <alignment horizontal="center" vertical="center"/>
    </xf>
    <xf borderId="6" fillId="0" fontId="7" numFmtId="0" xfId="0" applyAlignment="1" applyBorder="1" applyFont="1">
      <alignment readingOrder="0"/>
    </xf>
    <xf borderId="6" fillId="0" fontId="7" numFmtId="0" xfId="0" applyAlignment="1" applyBorder="1" applyFont="1">
      <alignment horizontal="center" readingOrder="0"/>
    </xf>
    <xf borderId="0" fillId="3" fontId="3" numFmtId="164" xfId="0" applyAlignment="1" applyFill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9" fontId="10" numFmtId="0" xfId="0" applyAlignment="1" applyFill="1" applyFont="1">
      <alignment horizontal="center" readingOrder="0" vertical="center"/>
    </xf>
    <xf borderId="0" fillId="11" fontId="10" numFmtId="0" xfId="0" applyAlignment="1" applyFill="1" applyFont="1">
      <alignment horizontal="left" readingOrder="0"/>
    </xf>
    <xf borderId="0" fillId="11" fontId="10" numFmtId="164" xfId="0" applyAlignment="1" applyFill="1" applyFont="1" applyNumberFormat="1">
      <alignment horizontal="center" readingOrder="0" vertical="center"/>
    </xf>
    <xf borderId="0" fillId="10" fontId="3" numFmtId="164" xfId="0" applyAlignment="1" applyFill="1" applyFont="1" applyNumberFormat="1">
      <alignment horizontal="center" vertical="center"/>
    </xf>
    <xf borderId="0" fillId="12" fontId="10" numFmtId="0" xfId="0" applyAlignment="1" applyFill="1" applyFont="1">
      <alignment horizontal="left" readingOrder="0"/>
    </xf>
    <xf borderId="0" fillId="12" fontId="10" numFmtId="164" xfId="0" applyAlignment="1" applyFill="1" applyFont="1" applyNumberFormat="1">
      <alignment horizontal="center" readingOrder="0" vertical="center"/>
    </xf>
    <xf borderId="0" fillId="13" fontId="10" numFmtId="0" xfId="0" applyAlignment="1" applyFill="1" applyFont="1">
      <alignment horizontal="left" readingOrder="0"/>
    </xf>
    <xf borderId="0" fillId="13" fontId="10" numFmtId="164" xfId="0" applyAlignment="1" applyFill="1" applyFont="1" applyNumberFormat="1">
      <alignment horizontal="center" readingOrder="0" vertical="center"/>
    </xf>
    <xf borderId="0" fillId="3" fontId="11" numFmtId="0" xfId="0" applyAlignment="1" applyFill="1" applyFont="1">
      <alignment horizontal="right" vertical="bottom"/>
    </xf>
    <xf borderId="0" fillId="3" fontId="12" numFmtId="0" xfId="0" applyAlignment="1" applyFill="1" applyFont="1">
      <alignment vertical="bottom"/>
    </xf>
    <xf borderId="0" fillId="10" fontId="12" numFmtId="164" xfId="0" applyAlignment="1" applyFill="1" applyFont="1" applyNumberFormat="1">
      <alignment horizontal="center" readingOrder="0" vertical="center"/>
    </xf>
    <xf borderId="0" fillId="3" fontId="12" numFmtId="164" xfId="0" applyAlignment="1" applyFill="1" applyFont="1" applyNumberFormat="1">
      <alignment horizontal="center" vertical="center"/>
    </xf>
    <xf borderId="0" fillId="0" fontId="13" numFmtId="0" xfId="0" applyFont="1"/>
    <xf borderId="0" fillId="14" fontId="10" numFmtId="0" xfId="0" applyAlignment="1" applyFill="1" applyFont="1">
      <alignment horizontal="left" readingOrder="0"/>
    </xf>
    <xf borderId="0" fillId="14" fontId="10" numFmtId="164" xfId="0" applyAlignment="1" applyFill="1" applyFont="1" applyNumberFormat="1">
      <alignment horizontal="center" readingOrder="0" vertical="center"/>
    </xf>
    <xf borderId="0" fillId="15" fontId="10" numFmtId="0" xfId="0" applyAlignment="1" applyFill="1" applyFont="1">
      <alignment horizontal="left" readingOrder="0"/>
    </xf>
    <xf borderId="0" fillId="15" fontId="10" numFmtId="164" xfId="0" applyAlignment="1" applyFill="1" applyFont="1" applyNumberFormat="1">
      <alignment horizontal="center" readingOrder="0" vertical="center"/>
    </xf>
    <xf borderId="0" fillId="3" fontId="3" numFmtId="0" xfId="0" applyAlignment="1" applyFill="1" applyFont="1">
      <alignment readingOrder="0" shrinkToFit="0" vertical="bottom" wrapText="1"/>
    </xf>
    <xf borderId="0" fillId="16" fontId="10" numFmtId="0" xfId="0" applyAlignment="1" applyFill="1" applyFont="1">
      <alignment horizontal="left" readingOrder="0"/>
    </xf>
    <xf borderId="0" fillId="16" fontId="10" numFmtId="164" xfId="0" applyAlignment="1" applyFill="1" applyFont="1" applyNumberFormat="1">
      <alignment horizontal="center" readingOrder="0" vertical="center"/>
    </xf>
    <xf borderId="0" fillId="3" fontId="3" numFmtId="0" xfId="0" applyAlignment="1" applyFill="1" applyFont="1">
      <alignment vertical="center"/>
    </xf>
    <xf borderId="0" fillId="17" fontId="10" numFmtId="0" xfId="0" applyAlignment="1" applyFill="1" applyFont="1">
      <alignment horizontal="left" readingOrder="0"/>
    </xf>
    <xf borderId="0" fillId="17" fontId="10" numFmtId="164" xfId="0" applyAlignment="1" applyFill="1" applyFont="1" applyNumberFormat="1">
      <alignment horizontal="center" readingOrder="0" vertical="center"/>
    </xf>
    <xf borderId="0" fillId="3" fontId="3" numFmtId="0" xfId="0" applyAlignment="1" applyFill="1" applyFont="1">
      <alignment readingOrder="0" vertical="center"/>
    </xf>
    <xf borderId="0" fillId="18" fontId="14" numFmtId="0" xfId="0" applyAlignment="1" applyFill="1" applyFont="1">
      <alignment horizontal="right" readingOrder="0"/>
    </xf>
    <xf borderId="0" fillId="18" fontId="14" numFmtId="164" xfId="0" applyAlignment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88"/>
  </cols>
  <sheetData>
    <row r="1">
      <c r="A1" s="2" t="s">
        <v>1</v>
      </c>
    </row>
    <row r="3">
      <c r="A3" s="4"/>
      <c r="B3" s="6" t="s">
        <v>4</v>
      </c>
      <c r="C3" s="11" t="s">
        <v>6</v>
      </c>
      <c r="D3" s="13" t="s">
        <v>9</v>
      </c>
    </row>
    <row r="4">
      <c r="A4" s="15">
        <v>1.0</v>
      </c>
      <c r="B4" s="16" t="s">
        <v>17</v>
      </c>
      <c r="C4" s="17">
        <v>10500.0</v>
      </c>
      <c r="D4" s="17">
        <f t="shared" ref="D4:D15" si="1">C4*12</f>
        <v>126000</v>
      </c>
    </row>
    <row r="5">
      <c r="A5" s="15">
        <v>2.0</v>
      </c>
      <c r="B5" s="24" t="s">
        <v>37</v>
      </c>
      <c r="C5" s="17">
        <v>1200.0</v>
      </c>
      <c r="D5" s="17">
        <f t="shared" si="1"/>
        <v>14400</v>
      </c>
    </row>
    <row r="6">
      <c r="A6" s="15">
        <v>3.0</v>
      </c>
      <c r="B6" s="16" t="s">
        <v>38</v>
      </c>
      <c r="C6" s="17">
        <v>4500.0</v>
      </c>
      <c r="D6" s="17">
        <f t="shared" si="1"/>
        <v>54000</v>
      </c>
    </row>
    <row r="7">
      <c r="A7" s="15">
        <v>4.0</v>
      </c>
      <c r="B7" s="16" t="s">
        <v>39</v>
      </c>
      <c r="C7" s="17">
        <v>4945.0</v>
      </c>
      <c r="D7" s="17">
        <f t="shared" si="1"/>
        <v>59340</v>
      </c>
    </row>
    <row r="8">
      <c r="A8" s="15">
        <v>5.0</v>
      </c>
      <c r="B8" s="16" t="s">
        <v>40</v>
      </c>
      <c r="C8" s="17">
        <v>0.0</v>
      </c>
      <c r="D8" s="17">
        <f t="shared" si="1"/>
        <v>0</v>
      </c>
    </row>
    <row r="9">
      <c r="A9" s="15">
        <v>6.0</v>
      </c>
      <c r="B9" s="16" t="s">
        <v>41</v>
      </c>
      <c r="C9" s="17">
        <v>480.0</v>
      </c>
      <c r="D9" s="17">
        <f t="shared" si="1"/>
        <v>5760</v>
      </c>
    </row>
    <row r="10">
      <c r="A10" s="15">
        <v>7.0</v>
      </c>
      <c r="B10" s="16" t="s">
        <v>43</v>
      </c>
      <c r="C10" s="17">
        <v>0.0</v>
      </c>
      <c r="D10" s="17">
        <f t="shared" si="1"/>
        <v>0</v>
      </c>
    </row>
    <row r="11">
      <c r="A11" s="15">
        <v>8.0</v>
      </c>
      <c r="B11" s="16" t="s">
        <v>44</v>
      </c>
      <c r="C11" s="17">
        <v>5274.91</v>
      </c>
      <c r="D11" s="17">
        <f t="shared" si="1"/>
        <v>63298.92</v>
      </c>
    </row>
    <row r="12">
      <c r="A12" s="15">
        <v>9.0</v>
      </c>
      <c r="B12" s="16" t="s">
        <v>46</v>
      </c>
      <c r="C12" s="17">
        <v>3150.0</v>
      </c>
      <c r="D12" s="17">
        <f t="shared" si="1"/>
        <v>37800</v>
      </c>
    </row>
    <row r="13">
      <c r="A13" s="15">
        <v>10.0</v>
      </c>
      <c r="B13" s="16" t="s">
        <v>47</v>
      </c>
      <c r="C13" s="17">
        <v>450.0</v>
      </c>
      <c r="D13" s="17">
        <f t="shared" si="1"/>
        <v>5400</v>
      </c>
    </row>
    <row r="14">
      <c r="A14" s="15">
        <v>11.0</v>
      </c>
      <c r="B14" s="16" t="s">
        <v>48</v>
      </c>
      <c r="C14" s="17">
        <v>900.0</v>
      </c>
      <c r="D14" s="17">
        <f t="shared" si="1"/>
        <v>10800</v>
      </c>
    </row>
    <row r="15">
      <c r="A15" s="15">
        <v>12.0</v>
      </c>
      <c r="B15" s="16" t="s">
        <v>49</v>
      </c>
      <c r="C15" s="17">
        <v>840.0</v>
      </c>
      <c r="D15" s="17">
        <f t="shared" si="1"/>
        <v>10080</v>
      </c>
    </row>
  </sheetData>
  <mergeCells count="1">
    <mergeCell ref="A1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1.38"/>
    <col customWidth="1" min="3" max="3" width="21.13"/>
    <col customWidth="1" min="4" max="7" width="14.0"/>
    <col customWidth="1" min="8" max="9" width="14.75"/>
    <col customWidth="1" min="10" max="12" width="13.5"/>
    <col customWidth="1" min="13" max="13" width="14.75"/>
    <col customWidth="1" min="14" max="14" width="13.5"/>
    <col customWidth="1" min="15" max="15" width="15.25"/>
    <col customWidth="1" min="16" max="16" width="63.88"/>
    <col customWidth="1" min="17" max="17" width="14.5"/>
    <col customWidth="1" min="18" max="18" width="11.13"/>
  </cols>
  <sheetData>
    <row r="1">
      <c r="A1" s="1" t="s">
        <v>0</v>
      </c>
    </row>
    <row r="2" ht="28.5" customHeight="1"/>
    <row r="3">
      <c r="A3" s="4"/>
      <c r="B3" s="6" t="s">
        <v>4</v>
      </c>
      <c r="C3" s="9" t="s">
        <v>5</v>
      </c>
      <c r="D3" s="12" t="s">
        <v>7</v>
      </c>
      <c r="E3" s="12" t="s">
        <v>10</v>
      </c>
      <c r="F3" s="12" t="s">
        <v>11</v>
      </c>
      <c r="G3" s="12" t="s">
        <v>12</v>
      </c>
      <c r="H3" s="12" t="s">
        <v>14</v>
      </c>
      <c r="I3" s="12" t="s">
        <v>16</v>
      </c>
      <c r="J3" s="12" t="s">
        <v>18</v>
      </c>
      <c r="K3" s="12" t="s">
        <v>19</v>
      </c>
      <c r="L3" s="12" t="s">
        <v>20</v>
      </c>
      <c r="M3" s="12" t="s">
        <v>22</v>
      </c>
      <c r="N3" s="12" t="s">
        <v>24</v>
      </c>
      <c r="O3" s="13" t="s">
        <v>9</v>
      </c>
      <c r="P3" s="13" t="s">
        <v>30</v>
      </c>
    </row>
    <row r="4">
      <c r="A4" s="18">
        <v>1.0</v>
      </c>
      <c r="B4" s="19" t="s">
        <v>35</v>
      </c>
      <c r="C4" s="21">
        <v>8125.04</v>
      </c>
      <c r="D4" s="21">
        <v>8125.04</v>
      </c>
      <c r="E4" s="21">
        <v>8125.04</v>
      </c>
      <c r="F4" s="21">
        <v>8125.04</v>
      </c>
      <c r="G4" s="21">
        <v>8125.04</v>
      </c>
      <c r="H4" s="21">
        <v>8125.04</v>
      </c>
      <c r="I4" s="21">
        <v>8125.04</v>
      </c>
      <c r="J4" s="21">
        <v>8125.04</v>
      </c>
      <c r="K4" s="21">
        <v>8125.04</v>
      </c>
      <c r="L4" s="21">
        <v>8125.04</v>
      </c>
      <c r="M4" s="21">
        <v>8125.04</v>
      </c>
      <c r="N4" s="21">
        <v>8125.04</v>
      </c>
      <c r="O4" s="25">
        <f>N4*12</f>
        <v>97500.48</v>
      </c>
      <c r="P4" s="26" t="s">
        <v>42</v>
      </c>
    </row>
    <row r="5">
      <c r="A5" s="18">
        <v>2.0</v>
      </c>
      <c r="B5" s="28" t="s">
        <v>37</v>
      </c>
      <c r="C5" s="29">
        <v>1200.0</v>
      </c>
      <c r="D5" s="29">
        <v>1200.0</v>
      </c>
      <c r="E5" s="29">
        <v>1200.0</v>
      </c>
      <c r="F5" s="29">
        <v>1200.0</v>
      </c>
      <c r="G5" s="30"/>
      <c r="H5" s="30"/>
      <c r="I5" s="30"/>
      <c r="J5" s="30"/>
      <c r="K5" s="30"/>
      <c r="L5" s="30"/>
      <c r="M5" s="30"/>
      <c r="N5" s="30"/>
      <c r="O5" s="25">
        <f>SUM(C5:F5)</f>
        <v>4800</v>
      </c>
      <c r="P5" s="26" t="s">
        <v>51</v>
      </c>
    </row>
    <row r="6">
      <c r="A6" s="18">
        <v>3.0</v>
      </c>
      <c r="B6" s="19" t="s">
        <v>45</v>
      </c>
      <c r="C6" s="21">
        <v>6900.0</v>
      </c>
      <c r="D6" s="21">
        <v>6900.0</v>
      </c>
      <c r="E6" s="21">
        <v>6900.0</v>
      </c>
      <c r="F6" s="21">
        <v>6900.0</v>
      </c>
      <c r="G6" s="21">
        <v>6900.0</v>
      </c>
      <c r="H6" s="21">
        <v>6900.0</v>
      </c>
      <c r="I6" s="21">
        <v>6900.0</v>
      </c>
      <c r="J6" s="21">
        <v>6900.0</v>
      </c>
      <c r="K6" s="21">
        <v>6900.0</v>
      </c>
      <c r="L6" s="21">
        <v>6900.0</v>
      </c>
      <c r="M6" s="21">
        <v>6900.0</v>
      </c>
      <c r="N6" s="21">
        <v>6900.0</v>
      </c>
      <c r="O6" s="25">
        <f t="shared" ref="O6:O16" si="1">N6*12</f>
        <v>82800</v>
      </c>
      <c r="P6" s="33" t="s">
        <v>53</v>
      </c>
    </row>
    <row r="7">
      <c r="A7" s="18">
        <v>4.0</v>
      </c>
      <c r="B7" s="19" t="s">
        <v>50</v>
      </c>
      <c r="C7" s="21">
        <v>8208.0</v>
      </c>
      <c r="D7" s="21">
        <v>8208.0</v>
      </c>
      <c r="E7" s="21">
        <v>8208.0</v>
      </c>
      <c r="F7" s="21">
        <v>8208.0</v>
      </c>
      <c r="G7" s="21">
        <v>8208.0</v>
      </c>
      <c r="H7" s="21">
        <v>8208.0</v>
      </c>
      <c r="I7" s="21">
        <v>8208.0</v>
      </c>
      <c r="J7" s="21">
        <v>8208.0</v>
      </c>
      <c r="K7" s="21">
        <v>8208.0</v>
      </c>
      <c r="L7" s="21">
        <v>8208.0</v>
      </c>
      <c r="M7" s="21">
        <v>8208.0</v>
      </c>
      <c r="N7" s="21">
        <v>8208.0</v>
      </c>
      <c r="O7" s="25">
        <f t="shared" si="1"/>
        <v>98496</v>
      </c>
      <c r="P7" s="33" t="s">
        <v>55</v>
      </c>
    </row>
    <row r="8">
      <c r="A8" s="18">
        <v>5.0</v>
      </c>
      <c r="B8" s="18" t="s">
        <v>40</v>
      </c>
      <c r="C8" s="29">
        <v>0.0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0.0</v>
      </c>
      <c r="L8" s="29">
        <v>0.0</v>
      </c>
      <c r="M8" s="29">
        <v>0.0</v>
      </c>
      <c r="N8" s="29">
        <v>0.0</v>
      </c>
      <c r="O8" s="25">
        <f t="shared" si="1"/>
        <v>0</v>
      </c>
    </row>
    <row r="9">
      <c r="A9" s="18">
        <v>6.0</v>
      </c>
      <c r="B9" s="19" t="s">
        <v>52</v>
      </c>
      <c r="C9" s="21">
        <v>498.0</v>
      </c>
      <c r="D9" s="21">
        <v>498.0</v>
      </c>
      <c r="E9" s="21">
        <v>498.0</v>
      </c>
      <c r="F9" s="21">
        <v>498.0</v>
      </c>
      <c r="G9" s="21">
        <v>498.0</v>
      </c>
      <c r="H9" s="21">
        <v>498.0</v>
      </c>
      <c r="I9" s="21">
        <v>498.0</v>
      </c>
      <c r="J9" s="21">
        <v>498.0</v>
      </c>
      <c r="K9" s="21">
        <v>498.0</v>
      </c>
      <c r="L9" s="21">
        <v>498.0</v>
      </c>
      <c r="M9" s="21">
        <v>498.0</v>
      </c>
      <c r="N9" s="21">
        <v>498.0</v>
      </c>
      <c r="O9" s="25">
        <f t="shared" si="1"/>
        <v>5976</v>
      </c>
      <c r="P9" s="33" t="s">
        <v>58</v>
      </c>
    </row>
    <row r="10">
      <c r="A10" s="18">
        <v>7.0</v>
      </c>
      <c r="B10" s="19" t="s">
        <v>54</v>
      </c>
      <c r="C10" s="21">
        <v>5416.66</v>
      </c>
      <c r="D10" s="21">
        <v>5416.66</v>
      </c>
      <c r="E10" s="21">
        <v>5416.66</v>
      </c>
      <c r="F10" s="21">
        <v>5416.66</v>
      </c>
      <c r="G10" s="21">
        <v>5416.66</v>
      </c>
      <c r="H10" s="21">
        <v>5416.66</v>
      </c>
      <c r="I10" s="21">
        <v>5416.66</v>
      </c>
      <c r="J10" s="21">
        <v>5416.66</v>
      </c>
      <c r="K10" s="21">
        <v>5416.66</v>
      </c>
      <c r="L10" s="21">
        <v>5416.66</v>
      </c>
      <c r="M10" s="21">
        <v>5416.66</v>
      </c>
      <c r="N10" s="21">
        <v>5416.66</v>
      </c>
      <c r="O10" s="25">
        <f t="shared" si="1"/>
        <v>64999.92</v>
      </c>
      <c r="P10" s="26" t="s">
        <v>42</v>
      </c>
    </row>
    <row r="11">
      <c r="A11" s="18">
        <v>8.0</v>
      </c>
      <c r="B11" s="19" t="s">
        <v>56</v>
      </c>
      <c r="C11" s="29">
        <v>5579.1813</v>
      </c>
      <c r="D11" s="29">
        <v>5579.1813</v>
      </c>
      <c r="E11" s="29">
        <v>5579.1813</v>
      </c>
      <c r="F11" s="29">
        <v>5579.1813</v>
      </c>
      <c r="G11" s="29">
        <v>5579.1813</v>
      </c>
      <c r="H11" s="29">
        <v>5579.1813</v>
      </c>
      <c r="I11" s="29">
        <v>5579.1813</v>
      </c>
      <c r="J11" s="29">
        <v>5579.1813</v>
      </c>
      <c r="K11" s="29">
        <v>5579.1813</v>
      </c>
      <c r="L11" s="29">
        <v>5579.1813</v>
      </c>
      <c r="M11" s="29">
        <v>5579.1813</v>
      </c>
      <c r="N11" s="29">
        <v>5579.1813</v>
      </c>
      <c r="O11" s="25">
        <f t="shared" si="1"/>
        <v>66950.1756</v>
      </c>
      <c r="P11" s="33" t="s">
        <v>61</v>
      </c>
    </row>
    <row r="12">
      <c r="A12" s="18">
        <v>9.0</v>
      </c>
      <c r="B12" s="19" t="s">
        <v>57</v>
      </c>
      <c r="C12" s="29">
        <v>3307.815</v>
      </c>
      <c r="D12" s="29">
        <v>3307.815</v>
      </c>
      <c r="E12" s="29">
        <v>3307.815</v>
      </c>
      <c r="F12" s="29">
        <v>3307.815</v>
      </c>
      <c r="G12" s="29">
        <v>3307.815</v>
      </c>
      <c r="H12" s="29">
        <v>3307.815</v>
      </c>
      <c r="I12" s="29">
        <v>3307.815</v>
      </c>
      <c r="J12" s="29">
        <v>3307.815</v>
      </c>
      <c r="K12" s="29">
        <v>3307.815</v>
      </c>
      <c r="L12" s="29">
        <v>3307.815</v>
      </c>
      <c r="M12" s="29">
        <v>3307.815</v>
      </c>
      <c r="N12" s="29">
        <v>3307.815</v>
      </c>
      <c r="O12" s="25">
        <f t="shared" si="1"/>
        <v>39693.78</v>
      </c>
      <c r="P12" s="33" t="s">
        <v>63</v>
      </c>
    </row>
    <row r="13">
      <c r="A13" s="18">
        <v>10.0</v>
      </c>
      <c r="B13" s="19" t="s">
        <v>59</v>
      </c>
      <c r="C13" s="29">
        <v>472.545</v>
      </c>
      <c r="D13" s="29">
        <v>472.545</v>
      </c>
      <c r="E13" s="29">
        <v>472.545</v>
      </c>
      <c r="F13" s="29">
        <v>472.545</v>
      </c>
      <c r="G13" s="29">
        <v>472.545</v>
      </c>
      <c r="H13" s="29">
        <v>472.545</v>
      </c>
      <c r="I13" s="29">
        <v>472.545</v>
      </c>
      <c r="J13" s="29">
        <v>472.545</v>
      </c>
      <c r="K13" s="29">
        <v>472.545</v>
      </c>
      <c r="L13" s="29">
        <v>472.545</v>
      </c>
      <c r="M13" s="29">
        <v>472.545</v>
      </c>
      <c r="N13" s="29">
        <v>472.545</v>
      </c>
      <c r="O13" s="25">
        <f t="shared" si="1"/>
        <v>5670.54</v>
      </c>
      <c r="P13" s="33" t="s">
        <v>65</v>
      </c>
    </row>
    <row r="14">
      <c r="A14" s="18">
        <v>11.0</v>
      </c>
      <c r="B14" s="19" t="s">
        <v>60</v>
      </c>
      <c r="C14" s="21">
        <v>1050.0</v>
      </c>
      <c r="D14" s="21">
        <v>1050.0</v>
      </c>
      <c r="E14" s="21">
        <v>1050.0</v>
      </c>
      <c r="F14" s="21">
        <v>1050.0</v>
      </c>
      <c r="G14" s="21">
        <v>1050.0</v>
      </c>
      <c r="H14" s="21">
        <v>1050.0</v>
      </c>
      <c r="I14" s="21">
        <v>1050.0</v>
      </c>
      <c r="J14" s="21">
        <v>1050.0</v>
      </c>
      <c r="K14" s="21">
        <v>1050.0</v>
      </c>
      <c r="L14" s="21">
        <v>1050.0</v>
      </c>
      <c r="M14" s="21">
        <v>1050.0</v>
      </c>
      <c r="N14" s="21">
        <v>1050.0</v>
      </c>
      <c r="O14" s="25">
        <f t="shared" si="1"/>
        <v>12600</v>
      </c>
      <c r="P14" s="33" t="s">
        <v>66</v>
      </c>
    </row>
    <row r="15">
      <c r="A15" s="18">
        <v>12.0</v>
      </c>
      <c r="B15" s="19" t="s">
        <v>62</v>
      </c>
      <c r="C15" s="21">
        <v>976.5</v>
      </c>
      <c r="D15" s="21">
        <v>976.5</v>
      </c>
      <c r="E15" s="21">
        <v>976.5</v>
      </c>
      <c r="F15" s="21">
        <v>976.5</v>
      </c>
      <c r="G15" s="21">
        <v>976.5</v>
      </c>
      <c r="H15" s="21">
        <v>976.5</v>
      </c>
      <c r="I15" s="21">
        <v>976.5</v>
      </c>
      <c r="J15" s="21">
        <v>976.5</v>
      </c>
      <c r="K15" s="21">
        <v>976.5</v>
      </c>
      <c r="L15" s="21">
        <v>976.5</v>
      </c>
      <c r="M15" s="21">
        <v>976.5</v>
      </c>
      <c r="N15" s="21">
        <v>976.5</v>
      </c>
      <c r="O15" s="25">
        <f t="shared" si="1"/>
        <v>11718</v>
      </c>
      <c r="P15" s="33" t="s">
        <v>68</v>
      </c>
    </row>
    <row r="16">
      <c r="A16" s="18">
        <v>13.0</v>
      </c>
      <c r="B16" s="19" t="s">
        <v>64</v>
      </c>
      <c r="C16" s="34">
        <v>3762.0</v>
      </c>
      <c r="D16" s="34">
        <v>3762.0</v>
      </c>
      <c r="E16" s="34">
        <v>3762.0</v>
      </c>
      <c r="F16" s="34">
        <v>3762.0</v>
      </c>
      <c r="G16" s="34">
        <v>3762.0</v>
      </c>
      <c r="H16" s="34">
        <v>3762.0</v>
      </c>
      <c r="I16" s="34">
        <v>3762.0</v>
      </c>
      <c r="J16" s="34">
        <v>3762.0</v>
      </c>
      <c r="K16" s="34">
        <v>3762.0</v>
      </c>
      <c r="L16" s="34">
        <v>3762.0</v>
      </c>
      <c r="M16" s="34">
        <v>3762.0</v>
      </c>
      <c r="N16" s="34">
        <v>3762.0</v>
      </c>
      <c r="O16" s="25">
        <f t="shared" si="1"/>
        <v>45144</v>
      </c>
      <c r="P16" s="26" t="s">
        <v>70</v>
      </c>
    </row>
    <row r="17">
      <c r="A17" s="18">
        <v>14.0</v>
      </c>
      <c r="B17" s="19" t="s">
        <v>67</v>
      </c>
      <c r="C17" s="34">
        <v>20257.2</v>
      </c>
      <c r="D17" s="34">
        <v>20257.2</v>
      </c>
      <c r="E17" s="34">
        <v>20257.2</v>
      </c>
      <c r="F17" s="34">
        <v>20257.2</v>
      </c>
      <c r="G17" s="34">
        <v>20257.2</v>
      </c>
      <c r="H17" s="35"/>
      <c r="I17" s="35"/>
      <c r="J17" s="35"/>
      <c r="K17" s="35"/>
      <c r="L17" s="35"/>
      <c r="M17" s="35"/>
      <c r="N17" s="35"/>
      <c r="O17" s="36">
        <f t="shared" ref="O17:O26" si="2">SUM(C17:N17)</f>
        <v>101286</v>
      </c>
      <c r="P17" s="26" t="s">
        <v>42</v>
      </c>
    </row>
    <row r="18">
      <c r="A18" s="18">
        <v>15.0</v>
      </c>
      <c r="B18" s="19" t="s">
        <v>69</v>
      </c>
      <c r="C18" s="34">
        <v>16646.4</v>
      </c>
      <c r="D18" s="34">
        <v>16646.4</v>
      </c>
      <c r="E18" s="34">
        <v>16646.4</v>
      </c>
      <c r="F18" s="34">
        <v>16646.4</v>
      </c>
      <c r="G18" s="34">
        <v>16646.4</v>
      </c>
      <c r="H18" s="35"/>
      <c r="I18" s="35"/>
      <c r="J18" s="35"/>
      <c r="K18" s="35"/>
      <c r="L18" s="35"/>
      <c r="M18" s="35"/>
      <c r="N18" s="35"/>
      <c r="O18" s="36">
        <f t="shared" si="2"/>
        <v>83232</v>
      </c>
      <c r="P18" s="26" t="s">
        <v>42</v>
      </c>
    </row>
    <row r="19">
      <c r="A19" s="18">
        <v>16.0</v>
      </c>
      <c r="B19" s="19" t="s">
        <v>71</v>
      </c>
      <c r="C19" s="34">
        <v>0.0</v>
      </c>
      <c r="D19" s="34">
        <v>0.0</v>
      </c>
      <c r="E19" s="34">
        <v>0.0</v>
      </c>
      <c r="F19" s="34">
        <v>0.0</v>
      </c>
      <c r="G19" s="34">
        <v>0.0</v>
      </c>
      <c r="H19" s="35"/>
      <c r="I19" s="35"/>
      <c r="J19" s="35"/>
      <c r="K19" s="35"/>
      <c r="L19" s="35"/>
      <c r="M19" s="35"/>
      <c r="N19" s="35"/>
      <c r="O19" s="36">
        <f t="shared" si="2"/>
        <v>0</v>
      </c>
      <c r="P19" s="26" t="s">
        <v>74</v>
      </c>
    </row>
    <row r="20">
      <c r="A20" s="18">
        <v>17.0</v>
      </c>
      <c r="B20" s="19" t="s">
        <v>72</v>
      </c>
      <c r="C20" s="34">
        <v>5175.0</v>
      </c>
      <c r="D20" s="34">
        <v>5175.0</v>
      </c>
      <c r="E20" s="34">
        <v>5175.0</v>
      </c>
      <c r="F20" s="34">
        <v>5175.0</v>
      </c>
      <c r="G20" s="34">
        <v>5175.0</v>
      </c>
      <c r="H20" s="35"/>
      <c r="I20" s="35"/>
      <c r="J20" s="35"/>
      <c r="K20" s="35"/>
      <c r="L20" s="35"/>
      <c r="M20" s="35"/>
      <c r="N20" s="35"/>
      <c r="O20" s="36">
        <f t="shared" si="2"/>
        <v>25875</v>
      </c>
      <c r="P20" s="26" t="s">
        <v>42</v>
      </c>
    </row>
    <row r="21">
      <c r="A21" s="18">
        <v>18.0</v>
      </c>
      <c r="B21" s="19" t="s">
        <v>73</v>
      </c>
      <c r="C21" s="34">
        <v>3900.0</v>
      </c>
      <c r="D21" s="34">
        <v>3900.0</v>
      </c>
      <c r="E21" s="34">
        <v>3900.0</v>
      </c>
      <c r="F21" s="34">
        <v>3900.0</v>
      </c>
      <c r="G21" s="34">
        <v>3900.0</v>
      </c>
      <c r="H21" s="35"/>
      <c r="I21" s="35"/>
      <c r="J21" s="35"/>
      <c r="K21" s="35"/>
      <c r="L21" s="35"/>
      <c r="M21" s="35"/>
      <c r="N21" s="35"/>
      <c r="O21" s="36">
        <f t="shared" si="2"/>
        <v>19500</v>
      </c>
      <c r="P21" s="26" t="s">
        <v>42</v>
      </c>
    </row>
    <row r="22">
      <c r="A22" s="18">
        <v>19.0</v>
      </c>
      <c r="B22" s="19" t="s">
        <v>75</v>
      </c>
      <c r="C22" s="34">
        <v>4548.6</v>
      </c>
      <c r="D22" s="34">
        <v>4548.6</v>
      </c>
      <c r="E22" s="34">
        <v>4548.6</v>
      </c>
      <c r="F22" s="34">
        <v>4548.6</v>
      </c>
      <c r="G22" s="34">
        <v>4548.6</v>
      </c>
      <c r="H22" s="35"/>
      <c r="I22" s="35"/>
      <c r="J22" s="35"/>
      <c r="K22" s="35"/>
      <c r="L22" s="35"/>
      <c r="M22" s="35"/>
      <c r="N22" s="35"/>
      <c r="O22" s="36">
        <f t="shared" si="2"/>
        <v>22743</v>
      </c>
      <c r="P22" s="26" t="s">
        <v>42</v>
      </c>
    </row>
    <row r="23">
      <c r="A23" s="18">
        <v>20.0</v>
      </c>
      <c r="B23" s="19" t="s">
        <v>76</v>
      </c>
      <c r="C23" s="34">
        <v>4708.2</v>
      </c>
      <c r="D23" s="34">
        <v>4708.2</v>
      </c>
      <c r="E23" s="34">
        <v>4708.2</v>
      </c>
      <c r="F23" s="34">
        <v>4708.2</v>
      </c>
      <c r="G23" s="34">
        <v>4708.2</v>
      </c>
      <c r="H23" s="35"/>
      <c r="I23" s="35"/>
      <c r="J23" s="35"/>
      <c r="K23" s="35"/>
      <c r="L23" s="35"/>
      <c r="M23" s="35"/>
      <c r="N23" s="35"/>
      <c r="O23" s="36">
        <f t="shared" si="2"/>
        <v>23541</v>
      </c>
      <c r="P23" s="26" t="s">
        <v>42</v>
      </c>
    </row>
    <row r="24">
      <c r="A24" s="18">
        <v>21.0</v>
      </c>
      <c r="B24" s="19" t="s">
        <v>77</v>
      </c>
      <c r="C24" s="37">
        <v>9100.0</v>
      </c>
      <c r="D24" s="37">
        <v>9100.0</v>
      </c>
      <c r="E24" s="37">
        <v>9100.0</v>
      </c>
      <c r="F24" s="37">
        <v>9100.0</v>
      </c>
      <c r="G24" s="37">
        <v>9100.0</v>
      </c>
      <c r="H24" s="35"/>
      <c r="I24" s="35"/>
      <c r="J24" s="35"/>
      <c r="K24" s="35"/>
      <c r="L24" s="35"/>
      <c r="M24" s="35"/>
      <c r="N24" s="35"/>
      <c r="O24" s="36">
        <f t="shared" si="2"/>
        <v>45500</v>
      </c>
      <c r="P24" s="26" t="s">
        <v>42</v>
      </c>
    </row>
    <row r="25">
      <c r="A25" s="19">
        <v>22.0</v>
      </c>
      <c r="B25" s="19" t="s">
        <v>78</v>
      </c>
      <c r="C25" s="34">
        <v>10260.0</v>
      </c>
      <c r="D25" s="34">
        <v>10260.0</v>
      </c>
      <c r="E25" s="34">
        <v>10260.0</v>
      </c>
      <c r="F25" s="34">
        <v>10260.0</v>
      </c>
      <c r="G25" s="34">
        <v>10260.0</v>
      </c>
      <c r="H25" s="35"/>
      <c r="I25" s="35"/>
      <c r="J25" s="35"/>
      <c r="K25" s="35"/>
      <c r="L25" s="35"/>
      <c r="M25" s="35"/>
      <c r="N25" s="35"/>
      <c r="O25" s="36">
        <f t="shared" si="2"/>
        <v>51300</v>
      </c>
      <c r="P25" s="26" t="s">
        <v>42</v>
      </c>
    </row>
    <row r="26">
      <c r="A26" s="19">
        <v>23.0</v>
      </c>
      <c r="B26" s="19" t="s">
        <v>79</v>
      </c>
      <c r="C26" s="34">
        <v>8527.2</v>
      </c>
      <c r="D26" s="34">
        <v>8527.2</v>
      </c>
      <c r="E26" s="34">
        <v>8527.2</v>
      </c>
      <c r="F26" s="34">
        <v>8527.2</v>
      </c>
      <c r="G26" s="34">
        <v>8527.2</v>
      </c>
      <c r="H26" s="35"/>
      <c r="I26" s="35"/>
      <c r="J26" s="35"/>
      <c r="K26" s="35"/>
      <c r="L26" s="35"/>
      <c r="M26" s="35"/>
      <c r="N26" s="35"/>
      <c r="O26" s="36">
        <f t="shared" si="2"/>
        <v>42636</v>
      </c>
      <c r="P26" s="26" t="s">
        <v>42</v>
      </c>
    </row>
    <row r="27">
      <c r="A27" s="38"/>
      <c r="B27" s="39" t="s">
        <v>36</v>
      </c>
      <c r="C27" s="41">
        <f t="shared" ref="C27:O27" si="3">SUM(C4:C26)</f>
        <v>128618.3413</v>
      </c>
      <c r="D27" s="41">
        <f t="shared" si="3"/>
        <v>128618.3413</v>
      </c>
      <c r="E27" s="41">
        <f t="shared" si="3"/>
        <v>128618.3413</v>
      </c>
      <c r="F27" s="41">
        <f t="shared" si="3"/>
        <v>128618.3413</v>
      </c>
      <c r="G27" s="41">
        <f t="shared" si="3"/>
        <v>127418.3413</v>
      </c>
      <c r="H27" s="41">
        <f t="shared" si="3"/>
        <v>44295.7413</v>
      </c>
      <c r="I27" s="41">
        <f t="shared" si="3"/>
        <v>44295.7413</v>
      </c>
      <c r="J27" s="41">
        <f t="shared" si="3"/>
        <v>44295.7413</v>
      </c>
      <c r="K27" s="41">
        <f t="shared" si="3"/>
        <v>44295.7413</v>
      </c>
      <c r="L27" s="41">
        <f t="shared" si="3"/>
        <v>44295.7413</v>
      </c>
      <c r="M27" s="41">
        <f t="shared" si="3"/>
        <v>44295.7413</v>
      </c>
      <c r="N27" s="41">
        <f t="shared" si="3"/>
        <v>44295.7413</v>
      </c>
      <c r="O27" s="42">
        <f t="shared" si="3"/>
        <v>951961.8956</v>
      </c>
    </row>
    <row r="29">
      <c r="N29" s="43"/>
    </row>
    <row r="30">
      <c r="A30" s="44"/>
      <c r="B30" s="45" t="s">
        <v>80</v>
      </c>
      <c r="C30" s="46" t="s">
        <v>5</v>
      </c>
      <c r="D30" s="47" t="s">
        <v>7</v>
      </c>
      <c r="E30" s="46" t="s">
        <v>10</v>
      </c>
      <c r="F30" s="47" t="s">
        <v>11</v>
      </c>
      <c r="G30" s="46" t="s">
        <v>12</v>
      </c>
      <c r="H30" s="47" t="s">
        <v>14</v>
      </c>
      <c r="I30" s="46" t="s">
        <v>16</v>
      </c>
      <c r="J30" s="47" t="s">
        <v>18</v>
      </c>
      <c r="K30" s="46" t="s">
        <v>19</v>
      </c>
      <c r="L30" s="47" t="s">
        <v>20</v>
      </c>
      <c r="M30" s="46" t="s">
        <v>22</v>
      </c>
      <c r="N30" s="47" t="s">
        <v>24</v>
      </c>
      <c r="O30" s="47" t="s">
        <v>81</v>
      </c>
    </row>
    <row r="31">
      <c r="A31" s="48"/>
      <c r="B31" s="49" t="s">
        <v>82</v>
      </c>
      <c r="C31" s="50">
        <f t="shared" ref="C31:N31" si="4">SUM(C32,C46,C124,C132,C137,C149,C159,C166,C171,C177,C196,C202)</f>
        <v>61619.42909</v>
      </c>
      <c r="D31" s="50">
        <f t="shared" si="4"/>
        <v>87249.42909</v>
      </c>
      <c r="E31" s="50">
        <f t="shared" si="4"/>
        <v>86749.42909</v>
      </c>
      <c r="F31" s="50">
        <f t="shared" si="4"/>
        <v>93849.42909</v>
      </c>
      <c r="G31" s="50">
        <f t="shared" si="4"/>
        <v>97110.34909</v>
      </c>
      <c r="H31" s="50">
        <f t="shared" si="4"/>
        <v>71976.43975</v>
      </c>
      <c r="I31" s="50">
        <f t="shared" si="4"/>
        <v>72476.43975</v>
      </c>
      <c r="J31" s="50">
        <f t="shared" si="4"/>
        <v>47076.43975</v>
      </c>
      <c r="K31" s="50">
        <f t="shared" si="4"/>
        <v>45076.43975</v>
      </c>
      <c r="L31" s="50">
        <f t="shared" si="4"/>
        <v>46776.43975</v>
      </c>
      <c r="M31" s="50">
        <f t="shared" si="4"/>
        <v>51976.43975</v>
      </c>
      <c r="N31" s="50">
        <f t="shared" si="4"/>
        <v>50976.43975</v>
      </c>
      <c r="O31" s="50">
        <f t="shared" ref="O31:O40" si="6">SUM(C31:N31)</f>
        <v>812913.1437</v>
      </c>
      <c r="Q31" s="51"/>
      <c r="R31" s="52"/>
    </row>
    <row r="32">
      <c r="A32" s="48"/>
      <c r="B32" s="49" t="s">
        <v>83</v>
      </c>
      <c r="C32" s="50">
        <f t="shared" ref="C32:N32" si="5">SUM(C33:C45)</f>
        <v>26560</v>
      </c>
      <c r="D32" s="50">
        <f t="shared" si="5"/>
        <v>26560</v>
      </c>
      <c r="E32" s="50">
        <f t="shared" si="5"/>
        <v>26560</v>
      </c>
      <c r="F32" s="50">
        <f t="shared" si="5"/>
        <v>26560</v>
      </c>
      <c r="G32" s="50">
        <f t="shared" si="5"/>
        <v>26560</v>
      </c>
      <c r="H32" s="50">
        <f t="shared" si="5"/>
        <v>26560</v>
      </c>
      <c r="I32" s="50">
        <f t="shared" si="5"/>
        <v>26560</v>
      </c>
      <c r="J32" s="50">
        <f t="shared" si="5"/>
        <v>26560</v>
      </c>
      <c r="K32" s="50">
        <f t="shared" si="5"/>
        <v>26560</v>
      </c>
      <c r="L32" s="50">
        <f t="shared" si="5"/>
        <v>26560</v>
      </c>
      <c r="M32" s="50">
        <f t="shared" si="5"/>
        <v>26560</v>
      </c>
      <c r="N32" s="50">
        <f t="shared" si="5"/>
        <v>26560</v>
      </c>
      <c r="O32" s="50">
        <f t="shared" si="6"/>
        <v>318720</v>
      </c>
      <c r="Q32" s="53" t="s">
        <v>84</v>
      </c>
      <c r="R32" s="54" t="s">
        <v>85</v>
      </c>
    </row>
    <row r="33">
      <c r="A33" s="48"/>
      <c r="B33" s="55" t="s">
        <v>86</v>
      </c>
      <c r="C33" s="56">
        <v>13000.0</v>
      </c>
      <c r="D33" s="56">
        <v>13000.0</v>
      </c>
      <c r="E33" s="56">
        <v>13000.0</v>
      </c>
      <c r="F33" s="56">
        <v>13000.0</v>
      </c>
      <c r="G33" s="56">
        <v>13000.0</v>
      </c>
      <c r="H33" s="56">
        <v>13000.0</v>
      </c>
      <c r="I33" s="56">
        <v>13000.0</v>
      </c>
      <c r="J33" s="56">
        <v>13000.0</v>
      </c>
      <c r="K33" s="56">
        <v>13000.0</v>
      </c>
      <c r="L33" s="56">
        <v>13000.0</v>
      </c>
      <c r="M33" s="56">
        <v>13000.0</v>
      </c>
      <c r="N33" s="56">
        <v>13000.0</v>
      </c>
      <c r="O33" s="57">
        <f t="shared" si="6"/>
        <v>156000</v>
      </c>
      <c r="Q33" s="58" t="s">
        <v>87</v>
      </c>
      <c r="R33" s="59">
        <v>2800.0</v>
      </c>
    </row>
    <row r="34">
      <c r="A34" s="48"/>
      <c r="B34" s="55" t="s">
        <v>88</v>
      </c>
      <c r="C34" s="56">
        <v>6000.0</v>
      </c>
      <c r="D34" s="56">
        <v>6000.0</v>
      </c>
      <c r="E34" s="56">
        <v>6000.0</v>
      </c>
      <c r="F34" s="56">
        <v>6000.0</v>
      </c>
      <c r="G34" s="56">
        <v>6000.0</v>
      </c>
      <c r="H34" s="56">
        <v>6000.0</v>
      </c>
      <c r="I34" s="56">
        <v>6000.0</v>
      </c>
      <c r="J34" s="56">
        <v>6000.0</v>
      </c>
      <c r="K34" s="56">
        <v>6000.0</v>
      </c>
      <c r="L34" s="56">
        <v>6000.0</v>
      </c>
      <c r="M34" s="56">
        <v>6000.0</v>
      </c>
      <c r="N34" s="56">
        <v>6000.0</v>
      </c>
      <c r="O34" s="57">
        <f t="shared" si="6"/>
        <v>72000</v>
      </c>
      <c r="Q34" s="58" t="s">
        <v>89</v>
      </c>
      <c r="R34" s="59">
        <v>2500.0</v>
      </c>
    </row>
    <row r="35">
      <c r="A35" s="48"/>
      <c r="B35" s="55" t="s">
        <v>90</v>
      </c>
      <c r="C35" s="56">
        <v>3000.0</v>
      </c>
      <c r="D35" s="56">
        <v>3000.0</v>
      </c>
      <c r="E35" s="56">
        <v>3000.0</v>
      </c>
      <c r="F35" s="56">
        <v>3000.0</v>
      </c>
      <c r="G35" s="56">
        <v>3000.0</v>
      </c>
      <c r="H35" s="56">
        <v>3000.0</v>
      </c>
      <c r="I35" s="56">
        <v>3000.0</v>
      </c>
      <c r="J35" s="56">
        <v>3000.0</v>
      </c>
      <c r="K35" s="56">
        <v>3000.0</v>
      </c>
      <c r="L35" s="56">
        <v>3000.0</v>
      </c>
      <c r="M35" s="56">
        <v>3000.0</v>
      </c>
      <c r="N35" s="56">
        <v>3000.0</v>
      </c>
      <c r="O35" s="57">
        <f t="shared" si="6"/>
        <v>36000</v>
      </c>
      <c r="Q35" s="58" t="s">
        <v>91</v>
      </c>
      <c r="R35" s="59">
        <v>3300.0</v>
      </c>
    </row>
    <row r="36">
      <c r="A36" s="48"/>
      <c r="B36" s="55" t="s">
        <v>92</v>
      </c>
      <c r="C36" s="60">
        <v>2000.0</v>
      </c>
      <c r="D36" s="60">
        <v>2000.0</v>
      </c>
      <c r="E36" s="60">
        <v>2000.0</v>
      </c>
      <c r="F36" s="60">
        <v>2000.0</v>
      </c>
      <c r="G36" s="60">
        <v>2000.0</v>
      </c>
      <c r="H36" s="60">
        <v>2000.0</v>
      </c>
      <c r="I36" s="60">
        <v>2000.0</v>
      </c>
      <c r="J36" s="60">
        <v>2000.0</v>
      </c>
      <c r="K36" s="60">
        <v>2000.0</v>
      </c>
      <c r="L36" s="60">
        <v>2000.0</v>
      </c>
      <c r="M36" s="60">
        <v>2000.0</v>
      </c>
      <c r="N36" s="60">
        <v>2000.0</v>
      </c>
      <c r="O36" s="57">
        <f t="shared" si="6"/>
        <v>24000</v>
      </c>
      <c r="Q36" s="58" t="s">
        <v>93</v>
      </c>
      <c r="R36" s="59">
        <v>2500.0</v>
      </c>
    </row>
    <row r="37">
      <c r="A37" s="48"/>
      <c r="B37" s="55" t="s">
        <v>94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7">
        <f t="shared" si="6"/>
        <v>0</v>
      </c>
      <c r="Q37" s="58" t="s">
        <v>95</v>
      </c>
      <c r="R37" s="59">
        <v>1800.0</v>
      </c>
    </row>
    <row r="38">
      <c r="A38" s="48"/>
      <c r="B38" s="55" t="s">
        <v>96</v>
      </c>
      <c r="C38" s="60">
        <v>2000.0</v>
      </c>
      <c r="D38" s="60">
        <v>2000.0</v>
      </c>
      <c r="E38" s="60">
        <v>2000.0</v>
      </c>
      <c r="F38" s="60">
        <v>2000.0</v>
      </c>
      <c r="G38" s="60">
        <v>2000.0</v>
      </c>
      <c r="H38" s="60">
        <v>2000.0</v>
      </c>
      <c r="I38" s="60">
        <v>2000.0</v>
      </c>
      <c r="J38" s="60">
        <v>2000.0</v>
      </c>
      <c r="K38" s="60">
        <v>2000.0</v>
      </c>
      <c r="L38" s="60">
        <v>2000.0</v>
      </c>
      <c r="M38" s="60">
        <v>2000.0</v>
      </c>
      <c r="N38" s="60">
        <v>2000.0</v>
      </c>
      <c r="O38" s="57">
        <f t="shared" si="6"/>
        <v>24000</v>
      </c>
      <c r="Q38" s="58" t="s">
        <v>97</v>
      </c>
      <c r="R38" s="59">
        <v>2000.0</v>
      </c>
    </row>
    <row r="39">
      <c r="A39" s="48"/>
      <c r="B39" s="24" t="s">
        <v>98</v>
      </c>
      <c r="C39" s="57">
        <v>400.0</v>
      </c>
      <c r="D39" s="57">
        <v>400.0</v>
      </c>
      <c r="E39" s="57">
        <v>400.0</v>
      </c>
      <c r="F39" s="57">
        <v>400.0</v>
      </c>
      <c r="G39" s="57">
        <v>400.0</v>
      </c>
      <c r="H39" s="57">
        <v>400.0</v>
      </c>
      <c r="I39" s="57">
        <v>400.0</v>
      </c>
      <c r="J39" s="57">
        <v>400.0</v>
      </c>
      <c r="K39" s="57">
        <v>400.0</v>
      </c>
      <c r="L39" s="57">
        <v>400.0</v>
      </c>
      <c r="M39" s="57">
        <v>400.0</v>
      </c>
      <c r="N39" s="57">
        <v>400.0</v>
      </c>
      <c r="O39" s="57">
        <f t="shared" si="6"/>
        <v>4800</v>
      </c>
      <c r="Q39" s="58" t="s">
        <v>99</v>
      </c>
      <c r="R39" s="59">
        <v>1000.0</v>
      </c>
    </row>
    <row r="40">
      <c r="A40" s="48"/>
      <c r="B40" s="55" t="s">
        <v>100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57">
        <f t="shared" si="6"/>
        <v>0</v>
      </c>
      <c r="R40" s="61"/>
    </row>
    <row r="41">
      <c r="A41" s="48"/>
      <c r="B41" s="49" t="s">
        <v>101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R41" s="61"/>
    </row>
    <row r="42">
      <c r="A42" s="48"/>
      <c r="B42" s="55" t="s">
        <v>102</v>
      </c>
      <c r="C42" s="60">
        <v>80.0</v>
      </c>
      <c r="D42" s="60">
        <v>80.0</v>
      </c>
      <c r="E42" s="60">
        <v>80.0</v>
      </c>
      <c r="F42" s="60">
        <v>80.0</v>
      </c>
      <c r="G42" s="60">
        <v>80.0</v>
      </c>
      <c r="H42" s="60">
        <v>80.0</v>
      </c>
      <c r="I42" s="60">
        <v>80.0</v>
      </c>
      <c r="J42" s="60">
        <v>80.0</v>
      </c>
      <c r="K42" s="60">
        <v>80.0</v>
      </c>
      <c r="L42" s="60">
        <v>80.0</v>
      </c>
      <c r="M42" s="60">
        <v>80.0</v>
      </c>
      <c r="N42" s="60">
        <v>80.0</v>
      </c>
      <c r="O42" s="57">
        <f t="shared" ref="O42:O45" si="7">SUM(C42:N42)</f>
        <v>960</v>
      </c>
      <c r="R42" s="61"/>
    </row>
    <row r="43">
      <c r="A43" s="48"/>
      <c r="B43" s="55" t="s">
        <v>103</v>
      </c>
      <c r="C43" s="60">
        <v>80.0</v>
      </c>
      <c r="D43" s="60">
        <v>80.0</v>
      </c>
      <c r="E43" s="60">
        <v>80.0</v>
      </c>
      <c r="F43" s="60">
        <v>80.0</v>
      </c>
      <c r="G43" s="60">
        <v>80.0</v>
      </c>
      <c r="H43" s="60">
        <v>80.0</v>
      </c>
      <c r="I43" s="60">
        <v>80.0</v>
      </c>
      <c r="J43" s="60">
        <v>80.0</v>
      </c>
      <c r="K43" s="60">
        <v>80.0</v>
      </c>
      <c r="L43" s="60">
        <v>80.0</v>
      </c>
      <c r="M43" s="60">
        <v>80.0</v>
      </c>
      <c r="N43" s="60">
        <v>80.0</v>
      </c>
      <c r="O43" s="57">
        <f t="shared" si="7"/>
        <v>960</v>
      </c>
      <c r="R43" s="61"/>
    </row>
    <row r="44">
      <c r="A44" s="48"/>
      <c r="B44" s="55" t="s">
        <v>104</v>
      </c>
      <c r="C44" s="56">
        <v>0.0</v>
      </c>
      <c r="D44" s="56">
        <v>0.0</v>
      </c>
      <c r="E44" s="56">
        <v>0.0</v>
      </c>
      <c r="F44" s="56">
        <v>0.0</v>
      </c>
      <c r="G44" s="56">
        <v>0.0</v>
      </c>
      <c r="H44" s="56">
        <v>0.0</v>
      </c>
      <c r="I44" s="56">
        <v>0.0</v>
      </c>
      <c r="J44" s="56">
        <v>0.0</v>
      </c>
      <c r="K44" s="56">
        <v>0.0</v>
      </c>
      <c r="L44" s="56">
        <v>0.0</v>
      </c>
      <c r="M44" s="56">
        <v>0.0</v>
      </c>
      <c r="N44" s="56">
        <v>0.0</v>
      </c>
      <c r="O44" s="57">
        <f t="shared" si="7"/>
        <v>0</v>
      </c>
      <c r="R44" s="61"/>
    </row>
    <row r="45">
      <c r="A45" s="48"/>
      <c r="B45" s="55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7">
        <f t="shared" si="7"/>
        <v>0</v>
      </c>
      <c r="R45" s="61"/>
    </row>
    <row r="46">
      <c r="A46" s="48"/>
      <c r="B46" s="49" t="s">
        <v>105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R46" s="61"/>
    </row>
    <row r="47">
      <c r="A47" s="48"/>
      <c r="B47" s="55"/>
      <c r="C47" s="60"/>
      <c r="D47" s="60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R47" s="61"/>
    </row>
    <row r="48">
      <c r="A48" s="48"/>
      <c r="B48" s="55"/>
      <c r="C48" s="60"/>
      <c r="D48" s="60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R48" s="61"/>
    </row>
    <row r="49">
      <c r="A49" s="48"/>
      <c r="B49" s="55"/>
      <c r="C49" s="60"/>
      <c r="D49" s="60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R49" s="61"/>
    </row>
    <row r="50">
      <c r="A50" s="48"/>
      <c r="B50" s="55"/>
      <c r="C50" s="60"/>
      <c r="D50" s="60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R50" s="61"/>
    </row>
    <row r="51">
      <c r="A51" s="48"/>
      <c r="B51" s="55"/>
      <c r="C51" s="60"/>
      <c r="D51" s="60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R51" s="61"/>
    </row>
    <row r="52">
      <c r="A52" s="48"/>
      <c r="B52" s="49" t="s">
        <v>106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R52" s="61"/>
    </row>
    <row r="53">
      <c r="A53" s="48"/>
      <c r="B53" s="55" t="s">
        <v>8</v>
      </c>
      <c r="C53" s="60"/>
      <c r="D53" s="60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>
        <f t="shared" ref="O53:O69" si="8">SUM(C53:N53)</f>
        <v>0</v>
      </c>
      <c r="Q53" s="26" t="s">
        <v>36</v>
      </c>
      <c r="R53" s="61"/>
    </row>
    <row r="54">
      <c r="A54" s="48"/>
      <c r="B54" s="55" t="s">
        <v>13</v>
      </c>
      <c r="C54" s="60"/>
      <c r="D54" s="60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>
        <f t="shared" si="8"/>
        <v>0</v>
      </c>
      <c r="R54" s="61"/>
    </row>
    <row r="55">
      <c r="A55" s="48"/>
      <c r="B55" s="55" t="s">
        <v>15</v>
      </c>
      <c r="C55" s="60"/>
      <c r="D55" s="60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>
        <f t="shared" si="8"/>
        <v>0</v>
      </c>
      <c r="R55" s="61"/>
    </row>
    <row r="56">
      <c r="A56" s="48"/>
      <c r="B56" s="55" t="s">
        <v>21</v>
      </c>
      <c r="C56" s="60"/>
      <c r="D56" s="60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>
        <f t="shared" si="8"/>
        <v>0</v>
      </c>
      <c r="R56" s="61"/>
    </row>
    <row r="57">
      <c r="A57" s="48"/>
      <c r="B57" s="55" t="s">
        <v>23</v>
      </c>
      <c r="C57" s="60"/>
      <c r="D57" s="60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>
        <f t="shared" si="8"/>
        <v>0</v>
      </c>
      <c r="R57" s="61"/>
    </row>
    <row r="58">
      <c r="A58" s="48"/>
      <c r="B58" s="55" t="s">
        <v>25</v>
      </c>
      <c r="C58" s="60"/>
      <c r="D58" s="60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>
        <f t="shared" si="8"/>
        <v>0</v>
      </c>
      <c r="R58" s="61"/>
    </row>
    <row r="59">
      <c r="A59" s="48"/>
      <c r="B59" s="55" t="s">
        <v>26</v>
      </c>
      <c r="C59" s="60"/>
      <c r="D59" s="60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>
        <f t="shared" si="8"/>
        <v>0</v>
      </c>
      <c r="R59" s="61"/>
    </row>
    <row r="60">
      <c r="A60" s="48"/>
      <c r="B60" s="55" t="s">
        <v>27</v>
      </c>
      <c r="C60" s="60"/>
      <c r="D60" s="60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>
        <f t="shared" si="8"/>
        <v>0</v>
      </c>
      <c r="R60" s="61"/>
    </row>
    <row r="61">
      <c r="A61" s="48"/>
      <c r="B61" s="55" t="s">
        <v>28</v>
      </c>
      <c r="C61" s="60"/>
      <c r="D61" s="60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>
        <f t="shared" si="8"/>
        <v>0</v>
      </c>
      <c r="R61" s="61"/>
    </row>
    <row r="62">
      <c r="A62" s="48"/>
      <c r="B62" s="55" t="s">
        <v>29</v>
      </c>
      <c r="C62" s="60"/>
      <c r="D62" s="60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>
        <f t="shared" si="8"/>
        <v>0</v>
      </c>
      <c r="R62" s="61"/>
    </row>
    <row r="63">
      <c r="A63" s="48"/>
      <c r="B63" s="55" t="s">
        <v>31</v>
      </c>
      <c r="C63" s="60"/>
      <c r="D63" s="60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>
        <f t="shared" si="8"/>
        <v>0</v>
      </c>
      <c r="R63" s="61"/>
    </row>
    <row r="64">
      <c r="A64" s="48"/>
      <c r="B64" s="55" t="s">
        <v>32</v>
      </c>
      <c r="C64" s="60"/>
      <c r="D64" s="60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>
        <f t="shared" si="8"/>
        <v>0</v>
      </c>
      <c r="R64" s="61"/>
    </row>
    <row r="65">
      <c r="A65" s="48"/>
      <c r="B65" s="55" t="s">
        <v>33</v>
      </c>
      <c r="C65" s="60"/>
      <c r="D65" s="60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>
        <f t="shared" si="8"/>
        <v>0</v>
      </c>
      <c r="R65" s="61"/>
    </row>
    <row r="66">
      <c r="A66" s="48"/>
      <c r="B66" s="55" t="s">
        <v>34</v>
      </c>
      <c r="C66" s="60"/>
      <c r="D66" s="60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>
        <f t="shared" si="8"/>
        <v>0</v>
      </c>
      <c r="R66" s="61"/>
    </row>
    <row r="67">
      <c r="A67" s="48"/>
      <c r="B67" s="55" t="s">
        <v>107</v>
      </c>
      <c r="C67" s="60"/>
      <c r="D67" s="60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>
        <f t="shared" si="8"/>
        <v>0</v>
      </c>
      <c r="R67" s="61"/>
    </row>
    <row r="68">
      <c r="A68" s="48"/>
      <c r="B68" s="55" t="s">
        <v>108</v>
      </c>
      <c r="C68" s="60"/>
      <c r="D68" s="60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>
        <f t="shared" si="8"/>
        <v>0</v>
      </c>
      <c r="R68" s="61"/>
    </row>
    <row r="69">
      <c r="A69" s="48"/>
      <c r="B69" s="55" t="s">
        <v>109</v>
      </c>
      <c r="C69" s="60"/>
      <c r="D69" s="60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>
        <f t="shared" si="8"/>
        <v>0</v>
      </c>
      <c r="R69" s="61"/>
    </row>
    <row r="70">
      <c r="A70" s="48"/>
      <c r="B70" s="49" t="s">
        <v>110</v>
      </c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R70" s="61"/>
    </row>
    <row r="71">
      <c r="A71" s="48"/>
      <c r="B71" s="55" t="s">
        <v>8</v>
      </c>
      <c r="C71" s="60"/>
      <c r="D71" s="60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>
        <f t="shared" ref="O71:O87" si="9">SUM(C71:N71)</f>
        <v>0</v>
      </c>
      <c r="R71" s="61"/>
    </row>
    <row r="72">
      <c r="A72" s="48"/>
      <c r="B72" s="55" t="s">
        <v>13</v>
      </c>
      <c r="C72" s="60"/>
      <c r="D72" s="60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>
        <f t="shared" si="9"/>
        <v>0</v>
      </c>
      <c r="R72" s="61"/>
    </row>
    <row r="73">
      <c r="A73" s="48"/>
      <c r="B73" s="55" t="s">
        <v>15</v>
      </c>
      <c r="C73" s="60"/>
      <c r="D73" s="60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>
        <f t="shared" si="9"/>
        <v>0</v>
      </c>
      <c r="R73" s="61"/>
    </row>
    <row r="74">
      <c r="A74" s="48"/>
      <c r="B74" s="55" t="s">
        <v>21</v>
      </c>
      <c r="C74" s="60"/>
      <c r="D74" s="60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>
        <f t="shared" si="9"/>
        <v>0</v>
      </c>
      <c r="R74" s="61"/>
    </row>
    <row r="75">
      <c r="A75" s="48"/>
      <c r="B75" s="55" t="s">
        <v>23</v>
      </c>
      <c r="C75" s="60"/>
      <c r="D75" s="60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>
        <f t="shared" si="9"/>
        <v>0</v>
      </c>
      <c r="R75" s="61"/>
    </row>
    <row r="76">
      <c r="A76" s="48"/>
      <c r="B76" s="55" t="s">
        <v>25</v>
      </c>
      <c r="C76" s="60"/>
      <c r="D76" s="60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>
        <f t="shared" si="9"/>
        <v>0</v>
      </c>
      <c r="R76" s="61"/>
    </row>
    <row r="77">
      <c r="A77" s="48"/>
      <c r="B77" s="55" t="s">
        <v>26</v>
      </c>
      <c r="C77" s="60"/>
      <c r="D77" s="60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>
        <f t="shared" si="9"/>
        <v>0</v>
      </c>
      <c r="R77" s="61"/>
    </row>
    <row r="78">
      <c r="A78" s="48"/>
      <c r="B78" s="55" t="s">
        <v>27</v>
      </c>
      <c r="C78" s="60"/>
      <c r="D78" s="60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>
        <f t="shared" si="9"/>
        <v>0</v>
      </c>
      <c r="R78" s="61"/>
    </row>
    <row r="79">
      <c r="A79" s="48"/>
      <c r="B79" s="55" t="s">
        <v>28</v>
      </c>
      <c r="C79" s="60"/>
      <c r="D79" s="60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>
        <f t="shared" si="9"/>
        <v>0</v>
      </c>
      <c r="R79" s="61"/>
    </row>
    <row r="80">
      <c r="A80" s="48"/>
      <c r="B80" s="55" t="s">
        <v>29</v>
      </c>
      <c r="C80" s="60"/>
      <c r="D80" s="60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>
        <f t="shared" si="9"/>
        <v>0</v>
      </c>
      <c r="R80" s="61"/>
    </row>
    <row r="81">
      <c r="A81" s="48"/>
      <c r="B81" s="55" t="s">
        <v>31</v>
      </c>
      <c r="C81" s="60"/>
      <c r="D81" s="60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>
        <f t="shared" si="9"/>
        <v>0</v>
      </c>
      <c r="R81" s="61"/>
    </row>
    <row r="82">
      <c r="A82" s="48"/>
      <c r="B82" s="55" t="s">
        <v>32</v>
      </c>
      <c r="C82" s="60"/>
      <c r="D82" s="60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>
        <f t="shared" si="9"/>
        <v>0</v>
      </c>
      <c r="R82" s="61"/>
    </row>
    <row r="83">
      <c r="A83" s="48"/>
      <c r="B83" s="55" t="s">
        <v>33</v>
      </c>
      <c r="C83" s="60"/>
      <c r="D83" s="60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>
        <f t="shared" si="9"/>
        <v>0</v>
      </c>
      <c r="R83" s="61"/>
    </row>
    <row r="84">
      <c r="A84" s="48"/>
      <c r="B84" s="55" t="s">
        <v>34</v>
      </c>
      <c r="C84" s="60"/>
      <c r="D84" s="60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>
        <f t="shared" si="9"/>
        <v>0</v>
      </c>
      <c r="R84" s="61"/>
    </row>
    <row r="85">
      <c r="A85" s="48"/>
      <c r="B85" s="55" t="s">
        <v>107</v>
      </c>
      <c r="C85" s="60"/>
      <c r="D85" s="60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>
        <f t="shared" si="9"/>
        <v>0</v>
      </c>
      <c r="R85" s="61"/>
    </row>
    <row r="86">
      <c r="A86" s="48"/>
      <c r="B86" s="55" t="s">
        <v>108</v>
      </c>
      <c r="C86" s="60"/>
      <c r="D86" s="60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>
        <f t="shared" si="9"/>
        <v>0</v>
      </c>
      <c r="R86" s="61"/>
    </row>
    <row r="87">
      <c r="A87" s="48"/>
      <c r="B87" s="55" t="s">
        <v>109</v>
      </c>
      <c r="C87" s="60"/>
      <c r="D87" s="60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>
        <f t="shared" si="9"/>
        <v>0</v>
      </c>
      <c r="R87" s="61"/>
    </row>
    <row r="88">
      <c r="A88" s="48"/>
      <c r="B88" s="49" t="s">
        <v>111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R88" s="61"/>
    </row>
    <row r="89">
      <c r="A89" s="48"/>
      <c r="B89" s="55" t="s">
        <v>8</v>
      </c>
      <c r="C89" s="60"/>
      <c r="D89" s="60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>
        <f t="shared" ref="O89:O105" si="10">SUM(C89:N89)</f>
        <v>0</v>
      </c>
      <c r="R89" s="61"/>
    </row>
    <row r="90">
      <c r="A90" s="48"/>
      <c r="B90" s="55" t="s">
        <v>13</v>
      </c>
      <c r="C90" s="60"/>
      <c r="D90" s="60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>
        <f t="shared" si="10"/>
        <v>0</v>
      </c>
      <c r="R90" s="61"/>
    </row>
    <row r="91">
      <c r="A91" s="48"/>
      <c r="B91" s="55" t="s">
        <v>15</v>
      </c>
      <c r="C91" s="60"/>
      <c r="D91" s="60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>
        <f t="shared" si="10"/>
        <v>0</v>
      </c>
      <c r="R91" s="61"/>
    </row>
    <row r="92">
      <c r="A92" s="48"/>
      <c r="B92" s="55" t="s">
        <v>21</v>
      </c>
      <c r="C92" s="60"/>
      <c r="D92" s="60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>
        <f t="shared" si="10"/>
        <v>0</v>
      </c>
      <c r="R92" s="61"/>
    </row>
    <row r="93">
      <c r="A93" s="48"/>
      <c r="B93" s="55" t="s">
        <v>23</v>
      </c>
      <c r="C93" s="60"/>
      <c r="D93" s="60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>
        <f t="shared" si="10"/>
        <v>0</v>
      </c>
      <c r="R93" s="61"/>
    </row>
    <row r="94">
      <c r="A94" s="48"/>
      <c r="B94" s="55" t="s">
        <v>25</v>
      </c>
      <c r="C94" s="60"/>
      <c r="D94" s="60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>
        <f t="shared" si="10"/>
        <v>0</v>
      </c>
      <c r="R94" s="61"/>
    </row>
    <row r="95">
      <c r="A95" s="48"/>
      <c r="B95" s="55" t="s">
        <v>26</v>
      </c>
      <c r="C95" s="60"/>
      <c r="D95" s="60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>
        <f t="shared" si="10"/>
        <v>0</v>
      </c>
      <c r="R95" s="61"/>
    </row>
    <row r="96">
      <c r="A96" s="48"/>
      <c r="B96" s="55" t="s">
        <v>27</v>
      </c>
      <c r="C96" s="60"/>
      <c r="D96" s="60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>
        <f t="shared" si="10"/>
        <v>0</v>
      </c>
      <c r="R96" s="61"/>
    </row>
    <row r="97">
      <c r="A97" s="48"/>
      <c r="B97" s="55" t="s">
        <v>28</v>
      </c>
      <c r="C97" s="60"/>
      <c r="D97" s="60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>
        <f t="shared" si="10"/>
        <v>0</v>
      </c>
      <c r="R97" s="61"/>
    </row>
    <row r="98">
      <c r="A98" s="48"/>
      <c r="B98" s="55" t="s">
        <v>29</v>
      </c>
      <c r="C98" s="60"/>
      <c r="D98" s="60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>
        <f t="shared" si="10"/>
        <v>0</v>
      </c>
      <c r="R98" s="61"/>
    </row>
    <row r="99">
      <c r="A99" s="48"/>
      <c r="B99" s="55" t="s">
        <v>31</v>
      </c>
      <c r="C99" s="60"/>
      <c r="D99" s="60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>
        <f t="shared" si="10"/>
        <v>0</v>
      </c>
      <c r="R99" s="61"/>
    </row>
    <row r="100">
      <c r="A100" s="48"/>
      <c r="B100" s="55" t="s">
        <v>32</v>
      </c>
      <c r="C100" s="60"/>
      <c r="D100" s="60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>
        <f t="shared" si="10"/>
        <v>0</v>
      </c>
      <c r="R100" s="61"/>
    </row>
    <row r="101">
      <c r="A101" s="48"/>
      <c r="B101" s="55" t="s">
        <v>33</v>
      </c>
      <c r="C101" s="60"/>
      <c r="D101" s="60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>
        <f t="shared" si="10"/>
        <v>0</v>
      </c>
      <c r="R101" s="61"/>
    </row>
    <row r="102">
      <c r="A102" s="48"/>
      <c r="B102" s="55" t="s">
        <v>34</v>
      </c>
      <c r="C102" s="60"/>
      <c r="D102" s="60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>
        <f t="shared" si="10"/>
        <v>0</v>
      </c>
      <c r="R102" s="61"/>
    </row>
    <row r="103">
      <c r="A103" s="48"/>
      <c r="B103" s="55" t="s">
        <v>107</v>
      </c>
      <c r="C103" s="60"/>
      <c r="D103" s="60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>
        <f t="shared" si="10"/>
        <v>0</v>
      </c>
      <c r="R103" s="61"/>
    </row>
    <row r="104">
      <c r="A104" s="48"/>
      <c r="B104" s="55" t="s">
        <v>108</v>
      </c>
      <c r="C104" s="60"/>
      <c r="D104" s="60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>
        <f t="shared" si="10"/>
        <v>0</v>
      </c>
      <c r="R104" s="61"/>
    </row>
    <row r="105">
      <c r="A105" s="48"/>
      <c r="B105" s="55" t="s">
        <v>109</v>
      </c>
      <c r="C105" s="60"/>
      <c r="D105" s="60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>
        <f t="shared" si="10"/>
        <v>0</v>
      </c>
      <c r="R105" s="61"/>
    </row>
    <row r="106">
      <c r="A106" s="48"/>
      <c r="B106" s="49" t="s">
        <v>112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R106" s="61"/>
    </row>
    <row r="107">
      <c r="A107" s="48"/>
      <c r="B107" s="55" t="s">
        <v>8</v>
      </c>
      <c r="C107" s="60"/>
      <c r="D107" s="60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>
        <f t="shared" ref="O107:O123" si="11">SUM(C107:N107)</f>
        <v>0</v>
      </c>
      <c r="R107" s="61"/>
    </row>
    <row r="108">
      <c r="A108" s="48"/>
      <c r="B108" s="55" t="s">
        <v>13</v>
      </c>
      <c r="C108" s="60"/>
      <c r="D108" s="60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>
        <f t="shared" si="11"/>
        <v>0</v>
      </c>
      <c r="R108" s="61"/>
    </row>
    <row r="109">
      <c r="A109" s="48"/>
      <c r="B109" s="55" t="s">
        <v>15</v>
      </c>
      <c r="C109" s="60"/>
      <c r="D109" s="60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>
        <f t="shared" si="11"/>
        <v>0</v>
      </c>
      <c r="R109" s="61"/>
    </row>
    <row r="110">
      <c r="A110" s="48"/>
      <c r="B110" s="55" t="s">
        <v>21</v>
      </c>
      <c r="C110" s="60"/>
      <c r="D110" s="60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>
        <f t="shared" si="11"/>
        <v>0</v>
      </c>
      <c r="R110" s="61"/>
    </row>
    <row r="111">
      <c r="A111" s="48"/>
      <c r="B111" s="55" t="s">
        <v>23</v>
      </c>
      <c r="C111" s="60"/>
      <c r="D111" s="60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>
        <f t="shared" si="11"/>
        <v>0</v>
      </c>
      <c r="R111" s="61"/>
    </row>
    <row r="112">
      <c r="A112" s="48"/>
      <c r="B112" s="55" t="s">
        <v>25</v>
      </c>
      <c r="C112" s="60"/>
      <c r="D112" s="60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>
        <f t="shared" si="11"/>
        <v>0</v>
      </c>
      <c r="R112" s="61"/>
    </row>
    <row r="113">
      <c r="A113" s="48"/>
      <c r="B113" s="55" t="s">
        <v>26</v>
      </c>
      <c r="C113" s="60"/>
      <c r="D113" s="60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>
        <f t="shared" si="11"/>
        <v>0</v>
      </c>
      <c r="R113" s="61"/>
    </row>
    <row r="114">
      <c r="A114" s="48"/>
      <c r="B114" s="55" t="s">
        <v>27</v>
      </c>
      <c r="C114" s="60"/>
      <c r="D114" s="60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>
        <f t="shared" si="11"/>
        <v>0</v>
      </c>
      <c r="R114" s="61"/>
    </row>
    <row r="115">
      <c r="A115" s="48"/>
      <c r="B115" s="55" t="s">
        <v>28</v>
      </c>
      <c r="C115" s="60"/>
      <c r="D115" s="60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>
        <f t="shared" si="11"/>
        <v>0</v>
      </c>
      <c r="R115" s="61"/>
    </row>
    <row r="116">
      <c r="A116" s="48"/>
      <c r="B116" s="55" t="s">
        <v>29</v>
      </c>
      <c r="C116" s="60"/>
      <c r="D116" s="60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>
        <f t="shared" si="11"/>
        <v>0</v>
      </c>
      <c r="R116" s="61"/>
    </row>
    <row r="117">
      <c r="A117" s="48"/>
      <c r="B117" s="55" t="s">
        <v>31</v>
      </c>
      <c r="C117" s="60"/>
      <c r="D117" s="60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>
        <f t="shared" si="11"/>
        <v>0</v>
      </c>
      <c r="R117" s="61"/>
    </row>
    <row r="118">
      <c r="A118" s="48"/>
      <c r="B118" s="55" t="s">
        <v>32</v>
      </c>
      <c r="C118" s="60"/>
      <c r="D118" s="60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>
        <f t="shared" si="11"/>
        <v>0</v>
      </c>
      <c r="R118" s="61"/>
    </row>
    <row r="119">
      <c r="A119" s="48"/>
      <c r="B119" s="55" t="s">
        <v>33</v>
      </c>
      <c r="C119" s="60"/>
      <c r="D119" s="60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>
        <f t="shared" si="11"/>
        <v>0</v>
      </c>
      <c r="R119" s="61"/>
    </row>
    <row r="120">
      <c r="A120" s="48"/>
      <c r="B120" s="55" t="s">
        <v>34</v>
      </c>
      <c r="C120" s="60"/>
      <c r="D120" s="60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>
        <f t="shared" si="11"/>
        <v>0</v>
      </c>
      <c r="R120" s="61"/>
    </row>
    <row r="121">
      <c r="A121" s="48"/>
      <c r="B121" s="55" t="s">
        <v>107</v>
      </c>
      <c r="C121" s="60"/>
      <c r="D121" s="60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>
        <f t="shared" si="11"/>
        <v>0</v>
      </c>
      <c r="R121" s="61"/>
    </row>
    <row r="122">
      <c r="A122" s="48"/>
      <c r="B122" s="55" t="s">
        <v>108</v>
      </c>
      <c r="C122" s="60"/>
      <c r="D122" s="60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>
        <f t="shared" si="11"/>
        <v>0</v>
      </c>
      <c r="R122" s="61"/>
    </row>
    <row r="123">
      <c r="A123" s="48"/>
      <c r="B123" s="55" t="s">
        <v>109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>
        <f t="shared" si="11"/>
        <v>0</v>
      </c>
      <c r="R123" s="61"/>
    </row>
    <row r="124">
      <c r="A124" s="48"/>
      <c r="B124" s="63" t="s">
        <v>113</v>
      </c>
      <c r="C124" s="64">
        <f t="shared" ref="C124:O124" si="12">SUM(C125:C131)</f>
        <v>833.3333333</v>
      </c>
      <c r="D124" s="64">
        <f t="shared" si="12"/>
        <v>833.3333333</v>
      </c>
      <c r="E124" s="64">
        <f t="shared" si="12"/>
        <v>833.3333333</v>
      </c>
      <c r="F124" s="64">
        <f t="shared" si="12"/>
        <v>1333.333333</v>
      </c>
      <c r="G124" s="64">
        <f t="shared" si="12"/>
        <v>833.3333333</v>
      </c>
      <c r="H124" s="64">
        <f t="shared" si="12"/>
        <v>833.3333333</v>
      </c>
      <c r="I124" s="64">
        <f t="shared" si="12"/>
        <v>1333.333333</v>
      </c>
      <c r="J124" s="64">
        <f t="shared" si="12"/>
        <v>833.3333333</v>
      </c>
      <c r="K124" s="64">
        <f t="shared" si="12"/>
        <v>833.3333333</v>
      </c>
      <c r="L124" s="64">
        <f t="shared" si="12"/>
        <v>833.3333333</v>
      </c>
      <c r="M124" s="64">
        <f t="shared" si="12"/>
        <v>1333.333333</v>
      </c>
      <c r="N124" s="64">
        <f t="shared" si="12"/>
        <v>833.3333333</v>
      </c>
      <c r="O124" s="64">
        <f t="shared" si="12"/>
        <v>11500</v>
      </c>
      <c r="Q124" s="58" t="s">
        <v>114</v>
      </c>
      <c r="R124" s="59">
        <v>2000.0</v>
      </c>
    </row>
    <row r="125">
      <c r="A125" s="48"/>
      <c r="B125" s="55" t="s">
        <v>115</v>
      </c>
      <c r="C125" s="57"/>
      <c r="D125" s="57"/>
      <c r="E125" s="57"/>
      <c r="F125" s="60">
        <v>500.0</v>
      </c>
      <c r="G125" s="57"/>
      <c r="H125" s="57"/>
      <c r="I125" s="60">
        <v>500.0</v>
      </c>
      <c r="J125" s="57"/>
      <c r="K125" s="57"/>
      <c r="L125" s="57"/>
      <c r="M125" s="60">
        <v>500.0</v>
      </c>
      <c r="N125" s="60"/>
      <c r="O125" s="57">
        <f>SUM(C125:N125)</f>
        <v>1500</v>
      </c>
      <c r="Q125" s="58" t="s">
        <v>116</v>
      </c>
      <c r="R125" s="59">
        <v>1800.0</v>
      </c>
    </row>
    <row r="126">
      <c r="A126" s="48"/>
      <c r="B126" s="55" t="s">
        <v>117</v>
      </c>
      <c r="C126" s="65">
        <v>833.3333333333334</v>
      </c>
      <c r="D126" s="65">
        <v>833.3333333333334</v>
      </c>
      <c r="E126" s="65">
        <v>833.3333333333334</v>
      </c>
      <c r="F126" s="65">
        <v>833.3333333333334</v>
      </c>
      <c r="G126" s="65">
        <v>833.3333333333334</v>
      </c>
      <c r="H126" s="65">
        <v>833.3333333333334</v>
      </c>
      <c r="I126" s="65">
        <v>833.3333333333334</v>
      </c>
      <c r="J126" s="65">
        <v>833.3333333333334</v>
      </c>
      <c r="K126" s="65">
        <v>833.3333333333334</v>
      </c>
      <c r="L126" s="65">
        <v>833.3333333333334</v>
      </c>
      <c r="M126" s="65">
        <v>833.3333333333334</v>
      </c>
      <c r="N126" s="65">
        <f>O126/12</f>
        <v>833.3333333</v>
      </c>
      <c r="O126" s="60">
        <v>10000.0</v>
      </c>
      <c r="Q126" s="58" t="s">
        <v>118</v>
      </c>
      <c r="R126" s="59">
        <v>1500.0</v>
      </c>
    </row>
    <row r="127">
      <c r="A127" s="48"/>
      <c r="B127" s="24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>
        <f t="shared" ref="O127:O146" si="13">SUM(C127:N127)</f>
        <v>0</v>
      </c>
      <c r="Q127" s="58" t="s">
        <v>119</v>
      </c>
      <c r="R127" s="59">
        <v>1500.0</v>
      </c>
    </row>
    <row r="128">
      <c r="A128" s="48"/>
      <c r="B128" s="24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>
        <f t="shared" si="13"/>
        <v>0</v>
      </c>
      <c r="Q128" s="58"/>
      <c r="R128" s="59"/>
    </row>
    <row r="129">
      <c r="A129" s="48"/>
      <c r="B129" s="24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>
        <f t="shared" si="13"/>
        <v>0</v>
      </c>
      <c r="Q129" s="58"/>
      <c r="R129" s="59"/>
    </row>
    <row r="130">
      <c r="A130" s="48"/>
      <c r="B130" s="2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>
        <f t="shared" si="13"/>
        <v>0</v>
      </c>
    </row>
    <row r="131">
      <c r="A131" s="48"/>
      <c r="B131" s="24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>
        <f t="shared" si="13"/>
        <v>0</v>
      </c>
    </row>
    <row r="132">
      <c r="A132" s="48"/>
      <c r="B132" s="66" t="s">
        <v>120</v>
      </c>
      <c r="C132" s="67">
        <f t="shared" ref="C132:N132" si="14">SUM(C133:C136)</f>
        <v>0</v>
      </c>
      <c r="D132" s="67">
        <f t="shared" si="14"/>
        <v>30000</v>
      </c>
      <c r="E132" s="67">
        <f t="shared" si="14"/>
        <v>30000</v>
      </c>
      <c r="F132" s="67">
        <f t="shared" si="14"/>
        <v>30000</v>
      </c>
      <c r="G132" s="67">
        <f t="shared" si="14"/>
        <v>30000</v>
      </c>
      <c r="H132" s="67">
        <f t="shared" si="14"/>
        <v>30000</v>
      </c>
      <c r="I132" s="67">
        <f t="shared" si="14"/>
        <v>30000</v>
      </c>
      <c r="J132" s="67">
        <f t="shared" si="14"/>
        <v>0</v>
      </c>
      <c r="K132" s="67">
        <f t="shared" si="14"/>
        <v>0</v>
      </c>
      <c r="L132" s="67">
        <f t="shared" si="14"/>
        <v>0</v>
      </c>
      <c r="M132" s="67">
        <f t="shared" si="14"/>
        <v>0</v>
      </c>
      <c r="N132" s="67">
        <f t="shared" si="14"/>
        <v>0</v>
      </c>
      <c r="O132" s="67">
        <f t="shared" si="13"/>
        <v>180000</v>
      </c>
    </row>
    <row r="133">
      <c r="A133" s="48"/>
      <c r="B133" s="55" t="s">
        <v>121</v>
      </c>
      <c r="C133" s="57"/>
      <c r="D133" s="56">
        <v>30000.0</v>
      </c>
      <c r="E133" s="56">
        <v>30000.0</v>
      </c>
      <c r="F133" s="56">
        <v>30000.0</v>
      </c>
      <c r="G133" s="56">
        <v>30000.0</v>
      </c>
      <c r="H133" s="56">
        <v>30000.0</v>
      </c>
      <c r="I133" s="56">
        <v>30000.0</v>
      </c>
      <c r="J133" s="57"/>
      <c r="K133" s="57"/>
      <c r="L133" s="57"/>
      <c r="M133" s="57"/>
      <c r="N133" s="57"/>
      <c r="O133" s="57">
        <f t="shared" si="13"/>
        <v>180000</v>
      </c>
    </row>
    <row r="134">
      <c r="A134" s="48"/>
      <c r="B134" s="55" t="s">
        <v>122</v>
      </c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>
        <f t="shared" si="13"/>
        <v>0</v>
      </c>
    </row>
    <row r="135">
      <c r="A135" s="48"/>
      <c r="B135" s="55" t="s">
        <v>123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>
        <f t="shared" si="13"/>
        <v>0</v>
      </c>
    </row>
    <row r="136">
      <c r="A136" s="48"/>
      <c r="B136" s="55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>
        <f t="shared" si="13"/>
        <v>0</v>
      </c>
    </row>
    <row r="137">
      <c r="A137" s="48"/>
      <c r="B137" s="68" t="s">
        <v>124</v>
      </c>
      <c r="C137" s="69">
        <f t="shared" ref="C137:N137" si="15">SUM(C138:C148)</f>
        <v>3699.23</v>
      </c>
      <c r="D137" s="69">
        <f t="shared" si="15"/>
        <v>3699.23</v>
      </c>
      <c r="E137" s="69">
        <f t="shared" si="15"/>
        <v>3699.23</v>
      </c>
      <c r="F137" s="69">
        <f t="shared" si="15"/>
        <v>3699.23</v>
      </c>
      <c r="G137" s="69">
        <f t="shared" si="15"/>
        <v>3699.23</v>
      </c>
      <c r="H137" s="69">
        <f t="shared" si="15"/>
        <v>3699.23</v>
      </c>
      <c r="I137" s="69">
        <f t="shared" si="15"/>
        <v>3699.23</v>
      </c>
      <c r="J137" s="69">
        <f t="shared" si="15"/>
        <v>3699.23</v>
      </c>
      <c r="K137" s="69">
        <f t="shared" si="15"/>
        <v>3699.23</v>
      </c>
      <c r="L137" s="69">
        <f t="shared" si="15"/>
        <v>3699.23</v>
      </c>
      <c r="M137" s="69">
        <f t="shared" si="15"/>
        <v>3699.23</v>
      </c>
      <c r="N137" s="69">
        <f t="shared" si="15"/>
        <v>3699.23</v>
      </c>
      <c r="O137" s="69">
        <f t="shared" si="13"/>
        <v>44390.76</v>
      </c>
    </row>
    <row r="138">
      <c r="A138" s="48"/>
      <c r="B138" s="24" t="s">
        <v>125</v>
      </c>
      <c r="C138" s="57">
        <v>3.17</v>
      </c>
      <c r="D138" s="57">
        <v>3.17</v>
      </c>
      <c r="E138" s="57">
        <v>3.17</v>
      </c>
      <c r="F138" s="57">
        <v>3.17</v>
      </c>
      <c r="G138" s="57">
        <v>3.17</v>
      </c>
      <c r="H138" s="57">
        <v>3.17</v>
      </c>
      <c r="I138" s="57">
        <v>3.17</v>
      </c>
      <c r="J138" s="57">
        <v>3.17</v>
      </c>
      <c r="K138" s="57">
        <v>3.17</v>
      </c>
      <c r="L138" s="57">
        <v>3.17</v>
      </c>
      <c r="M138" s="57">
        <v>3.17</v>
      </c>
      <c r="N138" s="57">
        <v>3.17</v>
      </c>
      <c r="O138" s="57">
        <f t="shared" si="13"/>
        <v>38.04</v>
      </c>
    </row>
    <row r="139">
      <c r="A139" s="48"/>
      <c r="B139" s="24" t="s">
        <v>126</v>
      </c>
      <c r="C139" s="57">
        <v>85.0</v>
      </c>
      <c r="D139" s="57">
        <v>85.0</v>
      </c>
      <c r="E139" s="57">
        <v>85.0</v>
      </c>
      <c r="F139" s="57">
        <v>85.0</v>
      </c>
      <c r="G139" s="57">
        <v>85.0</v>
      </c>
      <c r="H139" s="57">
        <v>85.0</v>
      </c>
      <c r="I139" s="57">
        <v>85.0</v>
      </c>
      <c r="J139" s="57">
        <v>85.0</v>
      </c>
      <c r="K139" s="57">
        <v>85.0</v>
      </c>
      <c r="L139" s="57">
        <v>85.0</v>
      </c>
      <c r="M139" s="57">
        <v>85.0</v>
      </c>
      <c r="N139" s="57">
        <v>85.0</v>
      </c>
      <c r="O139" s="57">
        <f t="shared" si="13"/>
        <v>1020</v>
      </c>
    </row>
    <row r="140" ht="18.75" customHeight="1">
      <c r="A140" s="48"/>
      <c r="B140" s="24" t="s">
        <v>127</v>
      </c>
      <c r="C140" s="57">
        <v>29.0</v>
      </c>
      <c r="D140" s="57">
        <v>29.0</v>
      </c>
      <c r="E140" s="57">
        <v>29.0</v>
      </c>
      <c r="F140" s="57">
        <v>29.0</v>
      </c>
      <c r="G140" s="57">
        <v>29.0</v>
      </c>
      <c r="H140" s="57">
        <v>29.0</v>
      </c>
      <c r="I140" s="57">
        <v>29.0</v>
      </c>
      <c r="J140" s="57">
        <v>29.0</v>
      </c>
      <c r="K140" s="57">
        <v>29.0</v>
      </c>
      <c r="L140" s="57">
        <v>29.0</v>
      </c>
      <c r="M140" s="57">
        <v>29.0</v>
      </c>
      <c r="N140" s="57">
        <v>29.0</v>
      </c>
      <c r="O140" s="57">
        <f t="shared" si="13"/>
        <v>348</v>
      </c>
    </row>
    <row r="141" ht="18.75" customHeight="1">
      <c r="A141" s="48"/>
      <c r="B141" s="24" t="s">
        <v>128</v>
      </c>
      <c r="C141" s="57">
        <v>39.16</v>
      </c>
      <c r="D141" s="57">
        <v>39.16</v>
      </c>
      <c r="E141" s="57">
        <v>39.16</v>
      </c>
      <c r="F141" s="57">
        <v>39.16</v>
      </c>
      <c r="G141" s="57">
        <v>39.16</v>
      </c>
      <c r="H141" s="57">
        <v>39.16</v>
      </c>
      <c r="I141" s="57">
        <v>39.16</v>
      </c>
      <c r="J141" s="57">
        <v>39.16</v>
      </c>
      <c r="K141" s="57">
        <v>39.16</v>
      </c>
      <c r="L141" s="57">
        <v>39.16</v>
      </c>
      <c r="M141" s="57">
        <v>39.16</v>
      </c>
      <c r="N141" s="57">
        <v>39.16</v>
      </c>
      <c r="O141" s="57">
        <f t="shared" si="13"/>
        <v>469.92</v>
      </c>
    </row>
    <row r="142" ht="18.75" customHeight="1">
      <c r="A142" s="48"/>
      <c r="B142" s="24" t="s">
        <v>129</v>
      </c>
      <c r="C142" s="57">
        <v>130.0</v>
      </c>
      <c r="D142" s="57">
        <v>130.0</v>
      </c>
      <c r="E142" s="57">
        <v>130.0</v>
      </c>
      <c r="F142" s="57">
        <v>130.0</v>
      </c>
      <c r="G142" s="57">
        <v>130.0</v>
      </c>
      <c r="H142" s="57">
        <v>130.0</v>
      </c>
      <c r="I142" s="57">
        <v>130.0</v>
      </c>
      <c r="J142" s="57">
        <v>130.0</v>
      </c>
      <c r="K142" s="57">
        <v>130.0</v>
      </c>
      <c r="L142" s="57">
        <v>130.0</v>
      </c>
      <c r="M142" s="57">
        <v>130.0</v>
      </c>
      <c r="N142" s="57">
        <v>130.0</v>
      </c>
      <c r="O142" s="57">
        <f t="shared" si="13"/>
        <v>1560</v>
      </c>
    </row>
    <row r="143" ht="18.75" customHeight="1">
      <c r="A143" s="48"/>
      <c r="B143" s="24" t="s">
        <v>130</v>
      </c>
      <c r="C143" s="57">
        <v>85.0</v>
      </c>
      <c r="D143" s="57">
        <v>85.0</v>
      </c>
      <c r="E143" s="57">
        <v>85.0</v>
      </c>
      <c r="F143" s="57">
        <v>85.0</v>
      </c>
      <c r="G143" s="57">
        <v>85.0</v>
      </c>
      <c r="H143" s="57">
        <v>85.0</v>
      </c>
      <c r="I143" s="57">
        <v>85.0</v>
      </c>
      <c r="J143" s="57">
        <v>85.0</v>
      </c>
      <c r="K143" s="57">
        <v>85.0</v>
      </c>
      <c r="L143" s="57">
        <v>85.0</v>
      </c>
      <c r="M143" s="57">
        <v>85.0</v>
      </c>
      <c r="N143" s="57">
        <v>85.0</v>
      </c>
      <c r="O143" s="57">
        <f t="shared" si="13"/>
        <v>1020</v>
      </c>
    </row>
    <row r="144" ht="18.75" customHeight="1">
      <c r="A144" s="70"/>
      <c r="B144" s="71" t="s">
        <v>131</v>
      </c>
      <c r="C144" s="72">
        <v>0.0</v>
      </c>
      <c r="D144" s="72">
        <v>0.0</v>
      </c>
      <c r="E144" s="72">
        <v>0.0</v>
      </c>
      <c r="F144" s="72">
        <v>0.0</v>
      </c>
      <c r="G144" s="72">
        <v>0.0</v>
      </c>
      <c r="H144" s="72">
        <v>0.0</v>
      </c>
      <c r="I144" s="72">
        <v>0.0</v>
      </c>
      <c r="J144" s="72">
        <v>0.0</v>
      </c>
      <c r="K144" s="72">
        <v>0.0</v>
      </c>
      <c r="L144" s="72">
        <v>0.0</v>
      </c>
      <c r="M144" s="72">
        <v>0.0</v>
      </c>
      <c r="N144" s="72">
        <v>0.0</v>
      </c>
      <c r="O144" s="73">
        <f t="shared" si="13"/>
        <v>0</v>
      </c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>
      <c r="A145" s="48"/>
      <c r="B145" s="24" t="s">
        <v>132</v>
      </c>
      <c r="C145" s="57">
        <v>87.9</v>
      </c>
      <c r="D145" s="57">
        <v>87.9</v>
      </c>
      <c r="E145" s="57">
        <v>87.9</v>
      </c>
      <c r="F145" s="57">
        <v>87.9</v>
      </c>
      <c r="G145" s="57">
        <v>87.9</v>
      </c>
      <c r="H145" s="57">
        <v>87.9</v>
      </c>
      <c r="I145" s="57">
        <v>87.9</v>
      </c>
      <c r="J145" s="57">
        <v>87.9</v>
      </c>
      <c r="K145" s="57">
        <v>87.9</v>
      </c>
      <c r="L145" s="57">
        <v>87.9</v>
      </c>
      <c r="M145" s="57">
        <v>87.9</v>
      </c>
      <c r="N145" s="57">
        <v>87.9</v>
      </c>
      <c r="O145" s="57">
        <f t="shared" si="13"/>
        <v>1054.8</v>
      </c>
    </row>
    <row r="146" ht="18.75" customHeight="1">
      <c r="A146" s="48"/>
      <c r="B146" s="55" t="s">
        <v>133</v>
      </c>
      <c r="C146" s="57">
        <f>Alunos_escola_livros!P25</f>
        <v>3240</v>
      </c>
      <c r="D146" s="57">
        <f>Alunos_escola_livros!P25</f>
        <v>3240</v>
      </c>
      <c r="E146" s="57">
        <f>Alunos_escola_livros!P25</f>
        <v>3240</v>
      </c>
      <c r="F146" s="57">
        <f>Alunos_escola_livros!P25</f>
        <v>3240</v>
      </c>
      <c r="G146" s="57">
        <f>Alunos_escola_livros!P25</f>
        <v>3240</v>
      </c>
      <c r="H146" s="57">
        <f>Alunos_escola_livros!P25</f>
        <v>3240</v>
      </c>
      <c r="I146" s="57">
        <f>Alunos_escola_livros!P25</f>
        <v>3240</v>
      </c>
      <c r="J146" s="57">
        <f>Alunos_escola_livros!P25</f>
        <v>3240</v>
      </c>
      <c r="K146" s="57">
        <f>Alunos_escola_livros!P25</f>
        <v>3240</v>
      </c>
      <c r="L146" s="57">
        <f>Alunos_escola_livros!P25</f>
        <v>3240</v>
      </c>
      <c r="M146" s="57">
        <f>Alunos_escola_livros!P25</f>
        <v>3240</v>
      </c>
      <c r="N146" s="57">
        <f>Alunos_escola_livros!P25</f>
        <v>3240</v>
      </c>
      <c r="O146" s="57">
        <f t="shared" si="13"/>
        <v>38880</v>
      </c>
    </row>
    <row r="147" ht="18.75" customHeight="1">
      <c r="A147" s="48"/>
      <c r="B147" s="24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</row>
    <row r="148" ht="18.75" customHeight="1">
      <c r="A148" s="48"/>
      <c r="B148" s="24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</row>
    <row r="149">
      <c r="A149" s="48"/>
      <c r="B149" s="75" t="s">
        <v>134</v>
      </c>
      <c r="C149" s="76">
        <f t="shared" ref="C149:N149" si="16">SUM(C150:C158)</f>
        <v>1000</v>
      </c>
      <c r="D149" s="76">
        <f t="shared" si="16"/>
        <v>1000</v>
      </c>
      <c r="E149" s="76">
        <f t="shared" si="16"/>
        <v>6000</v>
      </c>
      <c r="F149" s="76">
        <f t="shared" si="16"/>
        <v>13500</v>
      </c>
      <c r="G149" s="76">
        <f t="shared" si="16"/>
        <v>11000</v>
      </c>
      <c r="H149" s="76">
        <f t="shared" si="16"/>
        <v>1000</v>
      </c>
      <c r="I149" s="76">
        <f t="shared" si="16"/>
        <v>1000</v>
      </c>
      <c r="J149" s="76">
        <f t="shared" si="16"/>
        <v>1000</v>
      </c>
      <c r="K149" s="76">
        <f t="shared" si="16"/>
        <v>1000</v>
      </c>
      <c r="L149" s="76">
        <f t="shared" si="16"/>
        <v>1000</v>
      </c>
      <c r="M149" s="76">
        <f t="shared" si="16"/>
        <v>1000</v>
      </c>
      <c r="N149" s="76">
        <f t="shared" si="16"/>
        <v>1000</v>
      </c>
      <c r="O149" s="76">
        <f t="shared" ref="O149:O212" si="17">SUM(C149:N149)</f>
        <v>39500</v>
      </c>
    </row>
    <row r="150">
      <c r="A150" s="48"/>
      <c r="B150" s="55" t="s">
        <v>135</v>
      </c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>
        <f t="shared" si="17"/>
        <v>0</v>
      </c>
    </row>
    <row r="151">
      <c r="A151" s="48"/>
      <c r="B151" s="55" t="s">
        <v>136</v>
      </c>
      <c r="C151" s="60">
        <v>1000.0</v>
      </c>
      <c r="D151" s="60">
        <v>1000.0</v>
      </c>
      <c r="E151" s="60">
        <v>1000.0</v>
      </c>
      <c r="F151" s="60">
        <v>1000.0</v>
      </c>
      <c r="G151" s="60">
        <v>1000.0</v>
      </c>
      <c r="H151" s="60">
        <v>1000.0</v>
      </c>
      <c r="I151" s="60">
        <v>1000.0</v>
      </c>
      <c r="J151" s="60">
        <v>1000.0</v>
      </c>
      <c r="K151" s="60">
        <v>1000.0</v>
      </c>
      <c r="L151" s="60">
        <v>1000.0</v>
      </c>
      <c r="M151" s="60">
        <v>1000.0</v>
      </c>
      <c r="N151" s="60">
        <v>1000.0</v>
      </c>
      <c r="O151" s="57">
        <f t="shared" si="17"/>
        <v>12000</v>
      </c>
    </row>
    <row r="152">
      <c r="A152" s="48"/>
      <c r="B152" s="55" t="s">
        <v>137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>
        <f t="shared" si="17"/>
        <v>0</v>
      </c>
    </row>
    <row r="153">
      <c r="A153" s="48"/>
      <c r="B153" s="55" t="s">
        <v>138</v>
      </c>
      <c r="C153" s="57"/>
      <c r="D153" s="57"/>
      <c r="E153" s="60">
        <v>5000.0</v>
      </c>
      <c r="F153" s="57"/>
      <c r="G153" s="57"/>
      <c r="H153" s="57"/>
      <c r="I153" s="57"/>
      <c r="J153" s="57"/>
      <c r="K153" s="57"/>
      <c r="L153" s="57"/>
      <c r="M153" s="57"/>
      <c r="N153" s="57"/>
      <c r="O153" s="57">
        <f t="shared" si="17"/>
        <v>5000</v>
      </c>
    </row>
    <row r="154">
      <c r="A154" s="48"/>
      <c r="B154" s="55" t="s">
        <v>139</v>
      </c>
      <c r="C154" s="57"/>
      <c r="D154" s="57"/>
      <c r="E154" s="57"/>
      <c r="F154" s="57"/>
      <c r="G154" s="57"/>
      <c r="H154" s="57"/>
      <c r="I154" s="56">
        <v>0.0</v>
      </c>
      <c r="J154" s="57"/>
      <c r="K154" s="57"/>
      <c r="L154" s="57"/>
      <c r="M154" s="57"/>
      <c r="N154" s="57"/>
      <c r="O154" s="57">
        <f t="shared" si="17"/>
        <v>0</v>
      </c>
    </row>
    <row r="155">
      <c r="A155" s="48"/>
      <c r="B155" s="55" t="s">
        <v>140</v>
      </c>
      <c r="C155" s="57"/>
      <c r="D155" s="57"/>
      <c r="E155" s="57"/>
      <c r="F155" s="57"/>
      <c r="G155" s="60">
        <v>5000.0</v>
      </c>
      <c r="H155" s="57"/>
      <c r="I155" s="57"/>
      <c r="J155" s="57"/>
      <c r="K155" s="57"/>
      <c r="L155" s="57"/>
      <c r="M155" s="57"/>
      <c r="N155" s="57"/>
      <c r="O155" s="57">
        <f t="shared" si="17"/>
        <v>5000</v>
      </c>
    </row>
    <row r="156">
      <c r="A156" s="48"/>
      <c r="B156" s="55" t="s">
        <v>141</v>
      </c>
      <c r="C156" s="57"/>
      <c r="D156" s="57"/>
      <c r="E156" s="57"/>
      <c r="F156" s="60">
        <v>7500.0</v>
      </c>
      <c r="G156" s="57"/>
      <c r="H156" s="57"/>
      <c r="I156" s="57"/>
      <c r="J156" s="57"/>
      <c r="K156" s="57"/>
      <c r="L156" s="57"/>
      <c r="M156" s="57"/>
      <c r="N156" s="57"/>
      <c r="O156" s="57">
        <f t="shared" si="17"/>
        <v>7500</v>
      </c>
    </row>
    <row r="157">
      <c r="A157" s="48"/>
      <c r="B157" s="55" t="s">
        <v>142</v>
      </c>
      <c r="C157" s="57"/>
      <c r="D157" s="57"/>
      <c r="E157" s="57"/>
      <c r="F157" s="60"/>
      <c r="G157" s="57">
        <v>5000.0</v>
      </c>
      <c r="H157" s="57"/>
      <c r="I157" s="57"/>
      <c r="J157" s="57"/>
      <c r="K157" s="57"/>
      <c r="L157" s="57"/>
      <c r="M157" s="57"/>
      <c r="N157" s="57"/>
      <c r="O157" s="57">
        <f t="shared" si="17"/>
        <v>5000</v>
      </c>
    </row>
    <row r="158">
      <c r="A158" s="48"/>
      <c r="B158" s="55" t="s">
        <v>143</v>
      </c>
      <c r="C158" s="57"/>
      <c r="D158" s="57"/>
      <c r="E158" s="57"/>
      <c r="F158" s="60">
        <v>5000.0</v>
      </c>
      <c r="G158" s="57"/>
      <c r="H158" s="57"/>
      <c r="I158" s="57"/>
      <c r="J158" s="57"/>
      <c r="K158" s="57"/>
      <c r="L158" s="57"/>
      <c r="M158" s="57"/>
      <c r="N158" s="57"/>
      <c r="O158" s="57">
        <f t="shared" si="17"/>
        <v>5000</v>
      </c>
    </row>
    <row r="159">
      <c r="A159" s="48"/>
      <c r="B159" s="77" t="s">
        <v>144</v>
      </c>
      <c r="C159" s="78">
        <f t="shared" ref="C159:N159" si="18">SUM(C160:C165)</f>
        <v>0</v>
      </c>
      <c r="D159" s="78">
        <f t="shared" si="18"/>
        <v>0</v>
      </c>
      <c r="E159" s="78">
        <f t="shared" si="18"/>
        <v>0</v>
      </c>
      <c r="F159" s="78">
        <f t="shared" si="18"/>
        <v>0</v>
      </c>
      <c r="G159" s="78">
        <f t="shared" si="18"/>
        <v>0</v>
      </c>
      <c r="H159" s="78">
        <f t="shared" si="18"/>
        <v>0</v>
      </c>
      <c r="I159" s="78">
        <f t="shared" si="18"/>
        <v>0</v>
      </c>
      <c r="J159" s="78">
        <f t="shared" si="18"/>
        <v>4000</v>
      </c>
      <c r="K159" s="78">
        <f t="shared" si="18"/>
        <v>4000</v>
      </c>
      <c r="L159" s="78">
        <f t="shared" si="18"/>
        <v>4000</v>
      </c>
      <c r="M159" s="78">
        <f t="shared" si="18"/>
        <v>4000</v>
      </c>
      <c r="N159" s="78">
        <f t="shared" si="18"/>
        <v>4000</v>
      </c>
      <c r="O159" s="78">
        <f t="shared" si="17"/>
        <v>20000</v>
      </c>
    </row>
    <row r="160" ht="29.25" customHeight="1">
      <c r="A160" s="48"/>
      <c r="B160" s="79" t="s">
        <v>145</v>
      </c>
      <c r="C160" s="57"/>
      <c r="D160" s="57"/>
      <c r="E160" s="57"/>
      <c r="F160" s="57"/>
      <c r="G160" s="57"/>
      <c r="H160" s="57"/>
      <c r="I160" s="57"/>
      <c r="J160" s="60">
        <v>2000.0</v>
      </c>
      <c r="K160" s="60">
        <v>2000.0</v>
      </c>
      <c r="L160" s="60">
        <v>2000.0</v>
      </c>
      <c r="M160" s="60">
        <v>2000.0</v>
      </c>
      <c r="N160" s="60">
        <v>2000.0</v>
      </c>
      <c r="O160" s="57">
        <f t="shared" si="17"/>
        <v>10000</v>
      </c>
    </row>
    <row r="161">
      <c r="A161" s="48"/>
      <c r="B161" s="55" t="s">
        <v>146</v>
      </c>
      <c r="C161" s="57"/>
      <c r="D161" s="57"/>
      <c r="E161" s="57"/>
      <c r="F161" s="57"/>
      <c r="G161" s="57"/>
      <c r="H161" s="57"/>
      <c r="I161" s="57"/>
      <c r="J161" s="60">
        <v>1000.0</v>
      </c>
      <c r="K161" s="60">
        <v>1000.0</v>
      </c>
      <c r="L161" s="60">
        <v>1000.0</v>
      </c>
      <c r="M161" s="60">
        <v>1000.0</v>
      </c>
      <c r="N161" s="60">
        <v>1000.0</v>
      </c>
      <c r="O161" s="57">
        <f t="shared" si="17"/>
        <v>5000</v>
      </c>
    </row>
    <row r="162">
      <c r="A162" s="48"/>
      <c r="B162" s="55" t="s">
        <v>147</v>
      </c>
      <c r="C162" s="57"/>
      <c r="D162" s="57"/>
      <c r="E162" s="57"/>
      <c r="F162" s="57"/>
      <c r="G162" s="57"/>
      <c r="H162" s="57"/>
      <c r="I162" s="57"/>
      <c r="J162" s="60">
        <v>1000.0</v>
      </c>
      <c r="K162" s="60">
        <v>1000.0</v>
      </c>
      <c r="L162" s="60">
        <v>1000.0</v>
      </c>
      <c r="M162" s="60">
        <v>1000.0</v>
      </c>
      <c r="N162" s="60">
        <v>1000.0</v>
      </c>
      <c r="O162" s="57">
        <f t="shared" si="17"/>
        <v>5000</v>
      </c>
    </row>
    <row r="163">
      <c r="A163" s="48"/>
      <c r="B163" s="55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>
        <f t="shared" si="17"/>
        <v>0</v>
      </c>
    </row>
    <row r="164">
      <c r="A164" s="48"/>
      <c r="B164" s="55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>
        <f t="shared" si="17"/>
        <v>0</v>
      </c>
    </row>
    <row r="165">
      <c r="A165" s="48"/>
      <c r="B165" s="24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>
        <f t="shared" si="17"/>
        <v>0</v>
      </c>
    </row>
    <row r="166">
      <c r="A166" s="48"/>
      <c r="B166" s="80" t="s">
        <v>148</v>
      </c>
      <c r="C166" s="81">
        <f t="shared" ref="C166:N166" si="19">SUM(C167:C170)</f>
        <v>6000</v>
      </c>
      <c r="D166" s="81">
        <f t="shared" si="19"/>
        <v>0</v>
      </c>
      <c r="E166" s="81">
        <f t="shared" si="19"/>
        <v>0</v>
      </c>
      <c r="F166" s="81">
        <f t="shared" si="19"/>
        <v>0</v>
      </c>
      <c r="G166" s="81">
        <f t="shared" si="19"/>
        <v>0</v>
      </c>
      <c r="H166" s="81">
        <f t="shared" si="19"/>
        <v>0</v>
      </c>
      <c r="I166" s="81">
        <f t="shared" si="19"/>
        <v>0</v>
      </c>
      <c r="J166" s="81">
        <f t="shared" si="19"/>
        <v>2000</v>
      </c>
      <c r="K166" s="81">
        <f t="shared" si="19"/>
        <v>0</v>
      </c>
      <c r="L166" s="81">
        <f t="shared" si="19"/>
        <v>1000</v>
      </c>
      <c r="M166" s="81">
        <f t="shared" si="19"/>
        <v>0</v>
      </c>
      <c r="N166" s="81">
        <f t="shared" si="19"/>
        <v>0</v>
      </c>
      <c r="O166" s="81">
        <f t="shared" si="17"/>
        <v>9000</v>
      </c>
    </row>
    <row r="167">
      <c r="A167" s="48"/>
      <c r="B167" s="55" t="s">
        <v>149</v>
      </c>
      <c r="C167" s="60">
        <v>6000.0</v>
      </c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>
        <f t="shared" si="17"/>
        <v>6000</v>
      </c>
    </row>
    <row r="168">
      <c r="A168" s="48"/>
      <c r="B168" s="79" t="s">
        <v>150</v>
      </c>
      <c r="C168" s="57"/>
      <c r="D168" s="57"/>
      <c r="E168" s="57"/>
      <c r="F168" s="57"/>
      <c r="G168" s="57"/>
      <c r="H168" s="57"/>
      <c r="I168" s="57"/>
      <c r="J168" s="60">
        <v>2000.0</v>
      </c>
      <c r="K168" s="57"/>
      <c r="L168" s="57"/>
      <c r="M168" s="57"/>
      <c r="N168" s="57"/>
      <c r="O168" s="57">
        <f t="shared" si="17"/>
        <v>2000</v>
      </c>
    </row>
    <row r="169">
      <c r="A169" s="48"/>
      <c r="B169" s="55" t="s">
        <v>151</v>
      </c>
      <c r="C169" s="57"/>
      <c r="D169" s="57"/>
      <c r="E169" s="57"/>
      <c r="F169" s="57"/>
      <c r="G169" s="57"/>
      <c r="H169" s="57"/>
      <c r="I169" s="57"/>
      <c r="J169" s="60"/>
      <c r="K169" s="57"/>
      <c r="L169" s="60">
        <v>1000.0</v>
      </c>
      <c r="M169" s="57"/>
      <c r="N169" s="57"/>
      <c r="O169" s="57">
        <f t="shared" si="17"/>
        <v>1000</v>
      </c>
    </row>
    <row r="170">
      <c r="A170" s="48"/>
      <c r="B170" s="24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>
        <f t="shared" si="17"/>
        <v>0</v>
      </c>
    </row>
    <row r="171">
      <c r="A171" s="48"/>
      <c r="B171" s="49" t="s">
        <v>152</v>
      </c>
      <c r="C171" s="50">
        <f t="shared" ref="C171:N171" si="20">SUM(C172:C176)</f>
        <v>15026.86576</v>
      </c>
      <c r="D171" s="50">
        <f t="shared" si="20"/>
        <v>15026.86576</v>
      </c>
      <c r="E171" s="50">
        <f t="shared" si="20"/>
        <v>15026.86576</v>
      </c>
      <c r="F171" s="50">
        <f t="shared" si="20"/>
        <v>15026.86576</v>
      </c>
      <c r="G171" s="50">
        <f t="shared" si="20"/>
        <v>14887.78576</v>
      </c>
      <c r="H171" s="50">
        <f t="shared" si="20"/>
        <v>5253.876417</v>
      </c>
      <c r="I171" s="50">
        <f t="shared" si="20"/>
        <v>5253.876417</v>
      </c>
      <c r="J171" s="50">
        <f t="shared" si="20"/>
        <v>5253.876417</v>
      </c>
      <c r="K171" s="50">
        <f t="shared" si="20"/>
        <v>5253.876417</v>
      </c>
      <c r="L171" s="50">
        <f t="shared" si="20"/>
        <v>5253.876417</v>
      </c>
      <c r="M171" s="50">
        <f t="shared" si="20"/>
        <v>5253.876417</v>
      </c>
      <c r="N171" s="50">
        <f t="shared" si="20"/>
        <v>5253.876417</v>
      </c>
      <c r="O171" s="50">
        <f t="shared" si="17"/>
        <v>111772.3837</v>
      </c>
    </row>
    <row r="172">
      <c r="A172" s="48"/>
      <c r="B172" s="55" t="s">
        <v>153</v>
      </c>
      <c r="C172" s="60">
        <v>120.0</v>
      </c>
      <c r="D172" s="60">
        <v>120.0</v>
      </c>
      <c r="E172" s="60">
        <v>120.0</v>
      </c>
      <c r="F172" s="60">
        <v>120.0</v>
      </c>
      <c r="G172" s="60">
        <v>120.0</v>
      </c>
      <c r="H172" s="60">
        <v>120.0</v>
      </c>
      <c r="I172" s="60">
        <v>120.0</v>
      </c>
      <c r="J172" s="60">
        <v>120.0</v>
      </c>
      <c r="K172" s="60">
        <v>120.0</v>
      </c>
      <c r="L172" s="60">
        <v>120.0</v>
      </c>
      <c r="M172" s="60">
        <v>120.0</v>
      </c>
      <c r="N172" s="60">
        <v>120.0</v>
      </c>
      <c r="O172" s="57">
        <f t="shared" si="17"/>
        <v>1440</v>
      </c>
    </row>
    <row r="173">
      <c r="A173" s="48"/>
      <c r="B173" s="82" t="s">
        <v>154</v>
      </c>
      <c r="C173" s="57">
        <f t="shared" ref="C173:N173" si="21">C27*0.0759</f>
        <v>9762.132105</v>
      </c>
      <c r="D173" s="57">
        <f t="shared" si="21"/>
        <v>9762.132105</v>
      </c>
      <c r="E173" s="57">
        <f t="shared" si="21"/>
        <v>9762.132105</v>
      </c>
      <c r="F173" s="57">
        <f t="shared" si="21"/>
        <v>9762.132105</v>
      </c>
      <c r="G173" s="57">
        <f t="shared" si="21"/>
        <v>9671.052105</v>
      </c>
      <c r="H173" s="57">
        <f t="shared" si="21"/>
        <v>3362.046765</v>
      </c>
      <c r="I173" s="57">
        <f t="shared" si="21"/>
        <v>3362.046765</v>
      </c>
      <c r="J173" s="57">
        <f t="shared" si="21"/>
        <v>3362.046765</v>
      </c>
      <c r="K173" s="57">
        <f t="shared" si="21"/>
        <v>3362.046765</v>
      </c>
      <c r="L173" s="57">
        <f t="shared" si="21"/>
        <v>3362.046765</v>
      </c>
      <c r="M173" s="57">
        <f t="shared" si="21"/>
        <v>3362.046765</v>
      </c>
      <c r="N173" s="57">
        <f t="shared" si="21"/>
        <v>3362.046765</v>
      </c>
      <c r="O173" s="60">
        <f t="shared" si="17"/>
        <v>72253.90788</v>
      </c>
    </row>
    <row r="174">
      <c r="A174" s="48"/>
      <c r="B174" s="55" t="s">
        <v>155</v>
      </c>
      <c r="C174" s="57">
        <f t="shared" ref="C174:N174" si="22">C27*0.02</f>
        <v>2572.366826</v>
      </c>
      <c r="D174" s="57">
        <f t="shared" si="22"/>
        <v>2572.366826</v>
      </c>
      <c r="E174" s="57">
        <f t="shared" si="22"/>
        <v>2572.366826</v>
      </c>
      <c r="F174" s="57">
        <f t="shared" si="22"/>
        <v>2572.366826</v>
      </c>
      <c r="G174" s="57">
        <f t="shared" si="22"/>
        <v>2548.366826</v>
      </c>
      <c r="H174" s="57">
        <f t="shared" si="22"/>
        <v>885.914826</v>
      </c>
      <c r="I174" s="57">
        <f t="shared" si="22"/>
        <v>885.914826</v>
      </c>
      <c r="J174" s="57">
        <f t="shared" si="22"/>
        <v>885.914826</v>
      </c>
      <c r="K174" s="57">
        <f t="shared" si="22"/>
        <v>885.914826</v>
      </c>
      <c r="L174" s="57">
        <f t="shared" si="22"/>
        <v>885.914826</v>
      </c>
      <c r="M174" s="57">
        <f t="shared" si="22"/>
        <v>885.914826</v>
      </c>
      <c r="N174" s="57">
        <f t="shared" si="22"/>
        <v>885.914826</v>
      </c>
      <c r="O174" s="60">
        <f t="shared" si="17"/>
        <v>19039.23791</v>
      </c>
    </row>
    <row r="175" ht="18.75" customHeight="1">
      <c r="A175" s="48"/>
      <c r="B175" s="55" t="s">
        <v>156</v>
      </c>
      <c r="C175" s="60">
        <f t="shared" ref="C175:N175" si="23">(2%*C27)</f>
        <v>2572.366826</v>
      </c>
      <c r="D175" s="60">
        <f t="shared" si="23"/>
        <v>2572.366826</v>
      </c>
      <c r="E175" s="60">
        <f t="shared" si="23"/>
        <v>2572.366826</v>
      </c>
      <c r="F175" s="60">
        <f t="shared" si="23"/>
        <v>2572.366826</v>
      </c>
      <c r="G175" s="60">
        <f t="shared" si="23"/>
        <v>2548.366826</v>
      </c>
      <c r="H175" s="60">
        <f t="shared" si="23"/>
        <v>885.914826</v>
      </c>
      <c r="I175" s="60">
        <f t="shared" si="23"/>
        <v>885.914826</v>
      </c>
      <c r="J175" s="60">
        <f t="shared" si="23"/>
        <v>885.914826</v>
      </c>
      <c r="K175" s="60">
        <f t="shared" si="23"/>
        <v>885.914826</v>
      </c>
      <c r="L175" s="60">
        <f t="shared" si="23"/>
        <v>885.914826</v>
      </c>
      <c r="M175" s="60">
        <f t="shared" si="23"/>
        <v>885.914826</v>
      </c>
      <c r="N175" s="60">
        <f t="shared" si="23"/>
        <v>885.914826</v>
      </c>
      <c r="O175" s="60">
        <f t="shared" si="17"/>
        <v>19039.23791</v>
      </c>
    </row>
    <row r="176">
      <c r="A176" s="48"/>
      <c r="B176" s="55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>
        <f t="shared" si="17"/>
        <v>0</v>
      </c>
    </row>
    <row r="177">
      <c r="A177" s="48"/>
      <c r="B177" s="83" t="s">
        <v>157</v>
      </c>
      <c r="C177" s="84">
        <f t="shared" ref="C177:N177" si="24">SUM(C178:C195)</f>
        <v>3870</v>
      </c>
      <c r="D177" s="84">
        <f t="shared" si="24"/>
        <v>0</v>
      </c>
      <c r="E177" s="84">
        <f t="shared" si="24"/>
        <v>0</v>
      </c>
      <c r="F177" s="84">
        <f t="shared" si="24"/>
        <v>0</v>
      </c>
      <c r="G177" s="84">
        <f t="shared" si="24"/>
        <v>0</v>
      </c>
      <c r="H177" s="84">
        <f t="shared" si="24"/>
        <v>0</v>
      </c>
      <c r="I177" s="84">
        <f t="shared" si="24"/>
        <v>0</v>
      </c>
      <c r="J177" s="84">
        <f t="shared" si="24"/>
        <v>0</v>
      </c>
      <c r="K177" s="84">
        <f t="shared" si="24"/>
        <v>0</v>
      </c>
      <c r="L177" s="84">
        <f t="shared" si="24"/>
        <v>0</v>
      </c>
      <c r="M177" s="84">
        <f t="shared" si="24"/>
        <v>0</v>
      </c>
      <c r="N177" s="84">
        <f t="shared" si="24"/>
        <v>0</v>
      </c>
      <c r="O177" s="84">
        <f t="shared" si="17"/>
        <v>3870</v>
      </c>
    </row>
    <row r="178">
      <c r="A178" s="48"/>
      <c r="B178" s="55" t="s">
        <v>158</v>
      </c>
      <c r="C178" s="60">
        <v>215.0</v>
      </c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>
        <f t="shared" si="17"/>
        <v>215</v>
      </c>
    </row>
    <row r="179">
      <c r="A179" s="48"/>
      <c r="B179" s="55" t="s">
        <v>159</v>
      </c>
      <c r="C179" s="60">
        <v>215.0</v>
      </c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>
        <f t="shared" si="17"/>
        <v>215</v>
      </c>
    </row>
    <row r="180">
      <c r="A180" s="48"/>
      <c r="B180" s="55" t="s">
        <v>160</v>
      </c>
      <c r="C180" s="60">
        <v>215.0</v>
      </c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>
        <f t="shared" si="17"/>
        <v>215</v>
      </c>
    </row>
    <row r="181" ht="14.25" customHeight="1">
      <c r="A181" s="48"/>
      <c r="B181" s="55" t="s">
        <v>161</v>
      </c>
      <c r="C181" s="60">
        <v>215.0</v>
      </c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>
        <f t="shared" si="17"/>
        <v>215</v>
      </c>
    </row>
    <row r="182" ht="14.25" customHeight="1">
      <c r="A182" s="48"/>
      <c r="B182" s="55" t="s">
        <v>162</v>
      </c>
      <c r="C182" s="60">
        <v>215.0</v>
      </c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>
        <f t="shared" si="17"/>
        <v>215</v>
      </c>
    </row>
    <row r="183" ht="14.25" customHeight="1">
      <c r="A183" s="48"/>
      <c r="B183" s="55" t="s">
        <v>163</v>
      </c>
      <c r="C183" s="60">
        <v>215.0</v>
      </c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>
        <f t="shared" si="17"/>
        <v>215</v>
      </c>
    </row>
    <row r="184" ht="14.25" customHeight="1">
      <c r="A184" s="48"/>
      <c r="B184" s="55" t="s">
        <v>164</v>
      </c>
      <c r="C184" s="60">
        <v>215.0</v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>
        <f t="shared" si="17"/>
        <v>215</v>
      </c>
    </row>
    <row r="185" ht="14.25" customHeight="1">
      <c r="A185" s="48"/>
      <c r="B185" s="55" t="s">
        <v>165</v>
      </c>
      <c r="C185" s="60">
        <v>215.0</v>
      </c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>
        <f t="shared" si="17"/>
        <v>215</v>
      </c>
    </row>
    <row r="186" ht="14.25" customHeight="1">
      <c r="A186" s="48"/>
      <c r="B186" s="55" t="s">
        <v>166</v>
      </c>
      <c r="C186" s="60">
        <v>215.0</v>
      </c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>
        <f t="shared" si="17"/>
        <v>215</v>
      </c>
    </row>
    <row r="187" ht="14.25" customHeight="1">
      <c r="A187" s="48"/>
      <c r="B187" s="55" t="s">
        <v>167</v>
      </c>
      <c r="C187" s="60">
        <v>215.0</v>
      </c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>
        <f t="shared" si="17"/>
        <v>215</v>
      </c>
    </row>
    <row r="188">
      <c r="A188" s="48"/>
      <c r="B188" s="55" t="s">
        <v>168</v>
      </c>
      <c r="C188" s="60">
        <v>215.0</v>
      </c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>
        <f t="shared" si="17"/>
        <v>215</v>
      </c>
    </row>
    <row r="189">
      <c r="A189" s="48"/>
      <c r="B189" s="55" t="s">
        <v>169</v>
      </c>
      <c r="C189" s="60">
        <v>215.0</v>
      </c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>
        <f t="shared" si="17"/>
        <v>215</v>
      </c>
    </row>
    <row r="190">
      <c r="A190" s="48"/>
      <c r="B190" s="55" t="s">
        <v>170</v>
      </c>
      <c r="C190" s="60">
        <v>215.0</v>
      </c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>
        <f t="shared" si="17"/>
        <v>215</v>
      </c>
    </row>
    <row r="191">
      <c r="A191" s="48"/>
      <c r="B191" s="55" t="s">
        <v>171</v>
      </c>
      <c r="C191" s="60">
        <v>215.0</v>
      </c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>
        <f t="shared" si="17"/>
        <v>215</v>
      </c>
    </row>
    <row r="192">
      <c r="A192" s="48"/>
      <c r="B192" s="55" t="s">
        <v>172</v>
      </c>
      <c r="C192" s="60">
        <v>215.0</v>
      </c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>
        <f t="shared" si="17"/>
        <v>215</v>
      </c>
    </row>
    <row r="193">
      <c r="A193" s="48"/>
      <c r="B193" s="55" t="s">
        <v>173</v>
      </c>
      <c r="C193" s="60">
        <v>215.0</v>
      </c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>
        <f t="shared" si="17"/>
        <v>215</v>
      </c>
    </row>
    <row r="194">
      <c r="A194" s="48"/>
      <c r="B194" s="85" t="s">
        <v>174</v>
      </c>
      <c r="C194" s="60">
        <v>215.0</v>
      </c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>
        <f t="shared" si="17"/>
        <v>215</v>
      </c>
    </row>
    <row r="195" ht="20.25" customHeight="1">
      <c r="A195" s="48"/>
      <c r="B195" s="85" t="s">
        <v>175</v>
      </c>
      <c r="C195" s="60">
        <v>215.0</v>
      </c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>
        <f t="shared" si="17"/>
        <v>215</v>
      </c>
    </row>
    <row r="196">
      <c r="A196" s="48"/>
      <c r="B196" s="63" t="s">
        <v>176</v>
      </c>
      <c r="C196" s="64">
        <f t="shared" ref="C196:N196" si="25">SUM(C197:C201)</f>
        <v>900</v>
      </c>
      <c r="D196" s="64">
        <f t="shared" si="25"/>
        <v>6400</v>
      </c>
      <c r="E196" s="64">
        <f t="shared" si="25"/>
        <v>900</v>
      </c>
      <c r="F196" s="64">
        <f t="shared" si="25"/>
        <v>0</v>
      </c>
      <c r="G196" s="64">
        <f t="shared" si="25"/>
        <v>6400</v>
      </c>
      <c r="H196" s="64">
        <f t="shared" si="25"/>
        <v>900</v>
      </c>
      <c r="I196" s="64">
        <f t="shared" si="25"/>
        <v>900</v>
      </c>
      <c r="J196" s="64">
        <f t="shared" si="25"/>
        <v>0</v>
      </c>
      <c r="K196" s="64">
        <f t="shared" si="25"/>
        <v>0</v>
      </c>
      <c r="L196" s="64">
        <f t="shared" si="25"/>
        <v>700</v>
      </c>
      <c r="M196" s="64">
        <f t="shared" si="25"/>
        <v>6400</v>
      </c>
      <c r="N196" s="64">
        <f t="shared" si="25"/>
        <v>5900</v>
      </c>
      <c r="O196" s="64">
        <f t="shared" si="17"/>
        <v>29400</v>
      </c>
    </row>
    <row r="197">
      <c r="A197" s="48"/>
      <c r="B197" s="24" t="s">
        <v>177</v>
      </c>
      <c r="C197" s="60">
        <v>300.0</v>
      </c>
      <c r="D197" s="60">
        <v>300.0</v>
      </c>
      <c r="E197" s="60">
        <v>300.0</v>
      </c>
      <c r="F197" s="57"/>
      <c r="G197" s="60">
        <v>300.0</v>
      </c>
      <c r="H197" s="60">
        <v>300.0</v>
      </c>
      <c r="I197" s="60">
        <v>300.0</v>
      </c>
      <c r="J197" s="57"/>
      <c r="K197" s="57"/>
      <c r="L197" s="57">
        <v>100.0</v>
      </c>
      <c r="M197" s="60">
        <v>300.0</v>
      </c>
      <c r="N197" s="60">
        <v>300.0</v>
      </c>
      <c r="O197" s="57">
        <f t="shared" si="17"/>
        <v>2500</v>
      </c>
    </row>
    <row r="198">
      <c r="A198" s="48"/>
      <c r="B198" s="55" t="s">
        <v>178</v>
      </c>
      <c r="C198" s="57">
        <v>500.0</v>
      </c>
      <c r="D198" s="57">
        <v>500.0</v>
      </c>
      <c r="E198" s="57">
        <v>500.0</v>
      </c>
      <c r="F198" s="57"/>
      <c r="G198" s="57">
        <v>500.0</v>
      </c>
      <c r="H198" s="57">
        <v>500.0</v>
      </c>
      <c r="I198" s="57">
        <v>500.0</v>
      </c>
      <c r="J198" s="57"/>
      <c r="K198" s="57"/>
      <c r="L198" s="57">
        <v>500.0</v>
      </c>
      <c r="M198" s="57">
        <v>500.0</v>
      </c>
      <c r="N198" s="57">
        <v>500.0</v>
      </c>
      <c r="O198" s="57">
        <f t="shared" si="17"/>
        <v>4500</v>
      </c>
    </row>
    <row r="199">
      <c r="A199" s="48"/>
      <c r="B199" s="55" t="s">
        <v>179</v>
      </c>
      <c r="C199" s="57"/>
      <c r="D199" s="60">
        <v>5000.0</v>
      </c>
      <c r="E199" s="57"/>
      <c r="F199" s="57"/>
      <c r="G199" s="60">
        <v>5000.0</v>
      </c>
      <c r="H199" s="57"/>
      <c r="I199" s="57"/>
      <c r="J199" s="57"/>
      <c r="K199" s="57"/>
      <c r="L199" s="57"/>
      <c r="M199" s="60">
        <v>5000.0</v>
      </c>
      <c r="N199" s="60">
        <v>5000.0</v>
      </c>
      <c r="O199" s="57">
        <f t="shared" si="17"/>
        <v>20000</v>
      </c>
    </row>
    <row r="200">
      <c r="A200" s="48"/>
      <c r="B200" s="85" t="s">
        <v>180</v>
      </c>
      <c r="C200" s="57"/>
      <c r="D200" s="60">
        <v>500.0</v>
      </c>
      <c r="E200" s="57"/>
      <c r="F200" s="57"/>
      <c r="G200" s="60">
        <v>500.0</v>
      </c>
      <c r="H200" s="57"/>
      <c r="I200" s="57"/>
      <c r="J200" s="57"/>
      <c r="K200" s="57"/>
      <c r="L200" s="57"/>
      <c r="M200" s="60">
        <v>500.0</v>
      </c>
      <c r="N200" s="57"/>
      <c r="O200" s="57">
        <f t="shared" si="17"/>
        <v>1500</v>
      </c>
    </row>
    <row r="201">
      <c r="A201" s="48"/>
      <c r="B201" s="55" t="s">
        <v>181</v>
      </c>
      <c r="C201" s="60">
        <v>100.0</v>
      </c>
      <c r="D201" s="60">
        <v>100.0</v>
      </c>
      <c r="E201" s="60">
        <v>100.0</v>
      </c>
      <c r="F201" s="57"/>
      <c r="G201" s="60">
        <v>100.0</v>
      </c>
      <c r="H201" s="60">
        <v>100.0</v>
      </c>
      <c r="I201" s="60">
        <v>100.0</v>
      </c>
      <c r="J201" s="57"/>
      <c r="K201" s="57"/>
      <c r="L201" s="60">
        <v>100.0</v>
      </c>
      <c r="M201" s="60">
        <v>100.0</v>
      </c>
      <c r="N201" s="60">
        <v>100.0</v>
      </c>
      <c r="O201" s="57">
        <f t="shared" si="17"/>
        <v>900</v>
      </c>
    </row>
    <row r="202">
      <c r="A202" s="48"/>
      <c r="B202" s="66" t="s">
        <v>182</v>
      </c>
      <c r="C202" s="67">
        <f t="shared" ref="C202:N202" si="26">SUM(C203:C210)</f>
        <v>3730</v>
      </c>
      <c r="D202" s="67">
        <f t="shared" si="26"/>
        <v>3730</v>
      </c>
      <c r="E202" s="67">
        <f t="shared" si="26"/>
        <v>3730</v>
      </c>
      <c r="F202" s="67">
        <f t="shared" si="26"/>
        <v>3730</v>
      </c>
      <c r="G202" s="67">
        <f t="shared" si="26"/>
        <v>3730</v>
      </c>
      <c r="H202" s="67">
        <f t="shared" si="26"/>
        <v>3730</v>
      </c>
      <c r="I202" s="67">
        <f t="shared" si="26"/>
        <v>3730</v>
      </c>
      <c r="J202" s="67">
        <f t="shared" si="26"/>
        <v>3730</v>
      </c>
      <c r="K202" s="67">
        <f t="shared" si="26"/>
        <v>3730</v>
      </c>
      <c r="L202" s="67">
        <f t="shared" si="26"/>
        <v>3730</v>
      </c>
      <c r="M202" s="67">
        <f t="shared" si="26"/>
        <v>3730</v>
      </c>
      <c r="N202" s="67">
        <f t="shared" si="26"/>
        <v>3730</v>
      </c>
      <c r="O202" s="67">
        <f t="shared" si="17"/>
        <v>44760</v>
      </c>
    </row>
    <row r="203">
      <c r="A203" s="48"/>
      <c r="B203" s="24" t="s">
        <v>183</v>
      </c>
      <c r="C203" s="57">
        <v>500.0</v>
      </c>
      <c r="D203" s="57">
        <v>500.0</v>
      </c>
      <c r="E203" s="57">
        <v>500.0</v>
      </c>
      <c r="F203" s="57">
        <v>500.0</v>
      </c>
      <c r="G203" s="57">
        <v>500.0</v>
      </c>
      <c r="H203" s="57">
        <v>500.0</v>
      </c>
      <c r="I203" s="57">
        <v>500.0</v>
      </c>
      <c r="J203" s="57">
        <v>500.0</v>
      </c>
      <c r="K203" s="57">
        <v>500.0</v>
      </c>
      <c r="L203" s="57">
        <v>500.0</v>
      </c>
      <c r="M203" s="57">
        <v>500.0</v>
      </c>
      <c r="N203" s="57">
        <v>500.0</v>
      </c>
      <c r="O203" s="57">
        <f t="shared" si="17"/>
        <v>6000</v>
      </c>
    </row>
    <row r="204">
      <c r="A204" s="48"/>
      <c r="B204" s="24" t="s">
        <v>184</v>
      </c>
      <c r="C204" s="57">
        <v>80.0</v>
      </c>
      <c r="D204" s="57">
        <v>80.0</v>
      </c>
      <c r="E204" s="57">
        <v>80.0</v>
      </c>
      <c r="F204" s="57">
        <v>80.0</v>
      </c>
      <c r="G204" s="57">
        <v>80.0</v>
      </c>
      <c r="H204" s="57">
        <v>80.0</v>
      </c>
      <c r="I204" s="57">
        <v>80.0</v>
      </c>
      <c r="J204" s="57">
        <v>80.0</v>
      </c>
      <c r="K204" s="57">
        <v>80.0</v>
      </c>
      <c r="L204" s="57">
        <v>80.0</v>
      </c>
      <c r="M204" s="57">
        <v>80.0</v>
      </c>
      <c r="N204" s="57">
        <v>80.0</v>
      </c>
      <c r="O204" s="57">
        <f t="shared" si="17"/>
        <v>960</v>
      </c>
    </row>
    <row r="205">
      <c r="A205" s="48"/>
      <c r="B205" s="24" t="s">
        <v>185</v>
      </c>
      <c r="C205" s="57">
        <v>100.0</v>
      </c>
      <c r="D205" s="57">
        <v>100.0</v>
      </c>
      <c r="E205" s="57">
        <v>100.0</v>
      </c>
      <c r="F205" s="57">
        <v>100.0</v>
      </c>
      <c r="G205" s="57">
        <v>100.0</v>
      </c>
      <c r="H205" s="57">
        <v>100.0</v>
      </c>
      <c r="I205" s="57">
        <v>100.0</v>
      </c>
      <c r="J205" s="57">
        <v>100.0</v>
      </c>
      <c r="K205" s="57">
        <v>100.0</v>
      </c>
      <c r="L205" s="57">
        <v>100.0</v>
      </c>
      <c r="M205" s="57">
        <v>100.0</v>
      </c>
      <c r="N205" s="57">
        <v>100.0</v>
      </c>
      <c r="O205" s="57">
        <f t="shared" si="17"/>
        <v>1200</v>
      </c>
    </row>
    <row r="206" ht="13.5" customHeight="1">
      <c r="A206" s="48"/>
      <c r="B206" s="55" t="s">
        <v>186</v>
      </c>
      <c r="C206" s="60">
        <v>180.0</v>
      </c>
      <c r="D206" s="60">
        <v>180.0</v>
      </c>
      <c r="E206" s="60">
        <v>180.0</v>
      </c>
      <c r="F206" s="60">
        <v>180.0</v>
      </c>
      <c r="G206" s="60">
        <v>180.0</v>
      </c>
      <c r="H206" s="60">
        <v>180.0</v>
      </c>
      <c r="I206" s="60">
        <v>180.0</v>
      </c>
      <c r="J206" s="60">
        <v>180.0</v>
      </c>
      <c r="K206" s="60">
        <v>180.0</v>
      </c>
      <c r="L206" s="60">
        <v>180.0</v>
      </c>
      <c r="M206" s="60">
        <v>180.0</v>
      </c>
      <c r="N206" s="60">
        <v>180.0</v>
      </c>
      <c r="O206" s="57">
        <f t="shared" si="17"/>
        <v>2160</v>
      </c>
    </row>
    <row r="207">
      <c r="A207" s="48"/>
      <c r="B207" s="55" t="s">
        <v>187</v>
      </c>
      <c r="C207" s="60">
        <v>100.0</v>
      </c>
      <c r="D207" s="60">
        <v>100.0</v>
      </c>
      <c r="E207" s="60">
        <v>100.0</v>
      </c>
      <c r="F207" s="60">
        <v>100.0</v>
      </c>
      <c r="G207" s="60">
        <v>100.0</v>
      </c>
      <c r="H207" s="60">
        <v>100.0</v>
      </c>
      <c r="I207" s="60">
        <v>100.0</v>
      </c>
      <c r="J207" s="60">
        <v>100.0</v>
      </c>
      <c r="K207" s="60">
        <v>100.0</v>
      </c>
      <c r="L207" s="60">
        <v>100.0</v>
      </c>
      <c r="M207" s="60">
        <v>100.0</v>
      </c>
      <c r="N207" s="60">
        <v>100.0</v>
      </c>
      <c r="O207" s="57">
        <f t="shared" si="17"/>
        <v>1200</v>
      </c>
    </row>
    <row r="208">
      <c r="A208" s="48"/>
      <c r="B208" s="55" t="s">
        <v>188</v>
      </c>
      <c r="C208" s="60">
        <v>120.0</v>
      </c>
      <c r="D208" s="60">
        <v>120.0</v>
      </c>
      <c r="E208" s="60">
        <v>120.0</v>
      </c>
      <c r="F208" s="60">
        <v>120.0</v>
      </c>
      <c r="G208" s="60">
        <v>120.0</v>
      </c>
      <c r="H208" s="60">
        <v>120.0</v>
      </c>
      <c r="I208" s="60">
        <v>120.0</v>
      </c>
      <c r="J208" s="60">
        <v>120.0</v>
      </c>
      <c r="K208" s="60">
        <v>120.0</v>
      </c>
      <c r="L208" s="60">
        <v>120.0</v>
      </c>
      <c r="M208" s="60">
        <v>120.0</v>
      </c>
      <c r="N208" s="60">
        <v>120.0</v>
      </c>
      <c r="O208" s="57">
        <f t="shared" si="17"/>
        <v>1440</v>
      </c>
    </row>
    <row r="209">
      <c r="A209" s="48"/>
      <c r="B209" s="55" t="s">
        <v>189</v>
      </c>
      <c r="C209" s="60">
        <v>150.0</v>
      </c>
      <c r="D209" s="60">
        <v>150.0</v>
      </c>
      <c r="E209" s="60">
        <v>150.0</v>
      </c>
      <c r="F209" s="60">
        <v>150.0</v>
      </c>
      <c r="G209" s="60">
        <v>150.0</v>
      </c>
      <c r="H209" s="60">
        <v>150.0</v>
      </c>
      <c r="I209" s="60">
        <v>150.0</v>
      </c>
      <c r="J209" s="60">
        <v>150.0</v>
      </c>
      <c r="K209" s="60">
        <v>150.0</v>
      </c>
      <c r="L209" s="60">
        <v>150.0</v>
      </c>
      <c r="M209" s="60">
        <v>150.0</v>
      </c>
      <c r="N209" s="60">
        <v>150.0</v>
      </c>
      <c r="O209" s="57">
        <f t="shared" si="17"/>
        <v>1800</v>
      </c>
    </row>
    <row r="210">
      <c r="A210" s="48"/>
      <c r="B210" s="55" t="s">
        <v>190</v>
      </c>
      <c r="C210" s="56">
        <v>2500.0</v>
      </c>
      <c r="D210" s="56">
        <v>2500.0</v>
      </c>
      <c r="E210" s="56">
        <v>2500.0</v>
      </c>
      <c r="F210" s="56">
        <v>2500.0</v>
      </c>
      <c r="G210" s="56">
        <v>2500.0</v>
      </c>
      <c r="H210" s="56">
        <v>2500.0</v>
      </c>
      <c r="I210" s="56">
        <v>2500.0</v>
      </c>
      <c r="J210" s="56">
        <v>2500.0</v>
      </c>
      <c r="K210" s="56">
        <v>2500.0</v>
      </c>
      <c r="L210" s="56">
        <v>2500.0</v>
      </c>
      <c r="M210" s="56">
        <v>2500.0</v>
      </c>
      <c r="N210" s="56">
        <v>2500.0</v>
      </c>
      <c r="O210" s="57">
        <f t="shared" si="17"/>
        <v>30000</v>
      </c>
    </row>
    <row r="211">
      <c r="A211" s="48"/>
      <c r="B211" s="24" t="s">
        <v>191</v>
      </c>
      <c r="C211" s="57">
        <v>100.0</v>
      </c>
      <c r="D211" s="57">
        <v>100.0</v>
      </c>
      <c r="E211" s="57">
        <v>100.0</v>
      </c>
      <c r="F211" s="57">
        <v>100.0</v>
      </c>
      <c r="G211" s="57">
        <v>100.0</v>
      </c>
      <c r="H211" s="57">
        <v>100.0</v>
      </c>
      <c r="I211" s="57">
        <v>100.0</v>
      </c>
      <c r="J211" s="57">
        <v>100.0</v>
      </c>
      <c r="K211" s="57">
        <v>100.0</v>
      </c>
      <c r="L211" s="57">
        <v>100.0</v>
      </c>
      <c r="M211" s="57">
        <v>100.0</v>
      </c>
      <c r="N211" s="57">
        <v>100.0</v>
      </c>
      <c r="O211" s="57">
        <f t="shared" si="17"/>
        <v>1200</v>
      </c>
    </row>
    <row r="212">
      <c r="B212" s="86" t="s">
        <v>192</v>
      </c>
      <c r="C212" s="87">
        <f t="shared" ref="C212:N212" si="27">C27-C31</f>
        <v>66998.91221</v>
      </c>
      <c r="D212" s="87">
        <f t="shared" si="27"/>
        <v>41368.91221</v>
      </c>
      <c r="E212" s="87">
        <f t="shared" si="27"/>
        <v>41868.91221</v>
      </c>
      <c r="F212" s="87">
        <f t="shared" si="27"/>
        <v>34768.91221</v>
      </c>
      <c r="G212" s="87">
        <f t="shared" si="27"/>
        <v>30307.99221</v>
      </c>
      <c r="H212" s="87">
        <f t="shared" si="27"/>
        <v>-27680.69845</v>
      </c>
      <c r="I212" s="87">
        <f t="shared" si="27"/>
        <v>-28180.69845</v>
      </c>
      <c r="J212" s="87">
        <f t="shared" si="27"/>
        <v>-2780.69845</v>
      </c>
      <c r="K212" s="87">
        <f t="shared" si="27"/>
        <v>-780.69845</v>
      </c>
      <c r="L212" s="87">
        <f t="shared" si="27"/>
        <v>-2480.69845</v>
      </c>
      <c r="M212" s="87">
        <f t="shared" si="27"/>
        <v>-7680.69845</v>
      </c>
      <c r="N212" s="87">
        <f t="shared" si="27"/>
        <v>-6680.69845</v>
      </c>
      <c r="O212" s="87">
        <f t="shared" si="17"/>
        <v>139048.7519</v>
      </c>
    </row>
  </sheetData>
  <mergeCells count="1">
    <mergeCell ref="A1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3" t="s">
        <v>2</v>
      </c>
      <c r="B1" s="5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>
      <c r="A2" s="10"/>
      <c r="B2" s="14" t="s">
        <v>8</v>
      </c>
      <c r="C2" s="14" t="s">
        <v>13</v>
      </c>
      <c r="D2" s="14" t="s">
        <v>15</v>
      </c>
      <c r="E2" s="14" t="s">
        <v>21</v>
      </c>
      <c r="F2" s="14" t="s">
        <v>23</v>
      </c>
      <c r="G2" s="14" t="s">
        <v>25</v>
      </c>
      <c r="H2" s="14" t="s">
        <v>26</v>
      </c>
      <c r="I2" s="14" t="s">
        <v>27</v>
      </c>
      <c r="J2" s="14" t="s">
        <v>28</v>
      </c>
      <c r="K2" s="14" t="s">
        <v>29</v>
      </c>
      <c r="L2" s="14" t="s">
        <v>31</v>
      </c>
      <c r="M2" s="14" t="s">
        <v>32</v>
      </c>
      <c r="N2" s="14" t="s">
        <v>33</v>
      </c>
      <c r="O2" s="14" t="s">
        <v>34</v>
      </c>
      <c r="P2" s="20" t="s">
        <v>36</v>
      </c>
    </row>
    <row r="3">
      <c r="A3" s="22" t="s">
        <v>35</v>
      </c>
      <c r="B3" s="23">
        <v>0.0</v>
      </c>
      <c r="C3" s="23">
        <v>0.0</v>
      </c>
      <c r="D3" s="23">
        <v>28.0</v>
      </c>
      <c r="E3" s="23">
        <v>34.0</v>
      </c>
      <c r="F3" s="23">
        <v>41.0</v>
      </c>
      <c r="G3" s="23">
        <v>32.0</v>
      </c>
      <c r="H3" s="23">
        <v>38.0</v>
      </c>
      <c r="I3" s="23">
        <v>45.0</v>
      </c>
      <c r="J3" s="23">
        <v>39.0</v>
      </c>
      <c r="K3" s="23">
        <v>33.0</v>
      </c>
      <c r="L3" s="23">
        <v>19.0</v>
      </c>
      <c r="M3" s="23">
        <v>0.0</v>
      </c>
      <c r="N3" s="23">
        <v>0.0</v>
      </c>
      <c r="O3" s="23">
        <v>0.0</v>
      </c>
      <c r="P3" s="27">
        <f t="shared" ref="P3:P24" si="1">SUM(B3:O3)</f>
        <v>309</v>
      </c>
    </row>
    <row r="4">
      <c r="A4" s="22" t="s">
        <v>45</v>
      </c>
      <c r="B4" s="23">
        <v>0.0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0.0</v>
      </c>
      <c r="I4" s="31">
        <v>234.0</v>
      </c>
      <c r="J4" s="7"/>
      <c r="K4" s="7"/>
      <c r="L4" s="7"/>
      <c r="M4" s="7"/>
      <c r="N4" s="7"/>
      <c r="O4" s="8"/>
      <c r="P4" s="27">
        <f t="shared" si="1"/>
        <v>234</v>
      </c>
    </row>
    <row r="5">
      <c r="A5" s="22" t="s">
        <v>50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8.0</v>
      </c>
      <c r="I5" s="23">
        <v>32.0</v>
      </c>
      <c r="J5" s="23">
        <v>46.0</v>
      </c>
      <c r="K5" s="23">
        <v>38.0</v>
      </c>
      <c r="L5" s="23">
        <v>37.0</v>
      </c>
      <c r="M5" s="23">
        <v>68.0</v>
      </c>
      <c r="N5" s="23">
        <v>78.0</v>
      </c>
      <c r="O5" s="23">
        <v>41.0</v>
      </c>
      <c r="P5" s="27">
        <f t="shared" si="1"/>
        <v>348</v>
      </c>
    </row>
    <row r="6">
      <c r="A6" s="32" t="s">
        <v>40</v>
      </c>
      <c r="B6" s="23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0.0</v>
      </c>
      <c r="K6" s="23">
        <v>0.0</v>
      </c>
      <c r="L6" s="23">
        <v>0.0</v>
      </c>
      <c r="M6" s="23">
        <v>0.0</v>
      </c>
      <c r="N6" s="23">
        <v>0.0</v>
      </c>
      <c r="O6" s="23">
        <v>0.0</v>
      </c>
      <c r="P6" s="27">
        <f t="shared" si="1"/>
        <v>0</v>
      </c>
    </row>
    <row r="7">
      <c r="A7" s="22" t="s">
        <v>52</v>
      </c>
      <c r="B7" s="23">
        <v>0.0</v>
      </c>
      <c r="C7" s="23">
        <v>0.0</v>
      </c>
      <c r="D7" s="23">
        <v>12.0</v>
      </c>
      <c r="E7" s="23">
        <v>7.0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7">
        <f t="shared" si="1"/>
        <v>19</v>
      </c>
    </row>
    <row r="8">
      <c r="A8" s="22" t="s">
        <v>54</v>
      </c>
      <c r="B8" s="23">
        <v>0.0</v>
      </c>
      <c r="C8" s="23">
        <v>0.0</v>
      </c>
      <c r="D8" s="31">
        <v>130.0</v>
      </c>
      <c r="E8" s="7"/>
      <c r="F8" s="7"/>
      <c r="G8" s="7"/>
      <c r="H8" s="7"/>
      <c r="I8" s="7"/>
      <c r="J8" s="7"/>
      <c r="K8" s="7"/>
      <c r="L8" s="8"/>
      <c r="M8" s="23">
        <v>0.0</v>
      </c>
      <c r="N8" s="23">
        <v>0.0</v>
      </c>
      <c r="O8" s="23">
        <v>0.0</v>
      </c>
      <c r="P8" s="27">
        <f t="shared" si="1"/>
        <v>130</v>
      </c>
    </row>
    <row r="9">
      <c r="A9" s="22" t="s">
        <v>56</v>
      </c>
      <c r="B9" s="23">
        <v>0.0</v>
      </c>
      <c r="C9" s="23">
        <v>0.0</v>
      </c>
      <c r="D9" s="23">
        <v>23.0</v>
      </c>
      <c r="E9" s="23">
        <v>31.0</v>
      </c>
      <c r="F9" s="23">
        <v>21.0</v>
      </c>
      <c r="G9" s="23">
        <v>21.0</v>
      </c>
      <c r="H9" s="23">
        <v>42.0</v>
      </c>
      <c r="I9" s="23">
        <v>58.0</v>
      </c>
      <c r="J9" s="23">
        <v>34.0</v>
      </c>
      <c r="K9" s="23">
        <v>29.0</v>
      </c>
      <c r="L9" s="23">
        <v>16.0</v>
      </c>
      <c r="M9" s="23">
        <v>19.0</v>
      </c>
      <c r="N9" s="23">
        <v>11.0</v>
      </c>
      <c r="O9" s="23">
        <v>17.0</v>
      </c>
      <c r="P9" s="27">
        <f t="shared" si="1"/>
        <v>322</v>
      </c>
    </row>
    <row r="10">
      <c r="A10" s="22" t="s">
        <v>57</v>
      </c>
      <c r="B10" s="23">
        <v>0.0</v>
      </c>
      <c r="C10" s="23">
        <v>0.0</v>
      </c>
      <c r="D10" s="31">
        <v>210.0</v>
      </c>
      <c r="E10" s="7"/>
      <c r="F10" s="7"/>
      <c r="G10" s="7"/>
      <c r="H10" s="7"/>
      <c r="I10" s="7"/>
      <c r="J10" s="7"/>
      <c r="K10" s="7"/>
      <c r="L10" s="8"/>
      <c r="M10" s="23">
        <v>0.0</v>
      </c>
      <c r="N10" s="23">
        <v>0.0</v>
      </c>
      <c r="O10" s="23">
        <v>0.0</v>
      </c>
      <c r="P10" s="27">
        <f t="shared" si="1"/>
        <v>210</v>
      </c>
    </row>
    <row r="11">
      <c r="A11" s="22" t="s">
        <v>59</v>
      </c>
      <c r="B11" s="23">
        <v>0.0</v>
      </c>
      <c r="C11" s="23">
        <v>0.0</v>
      </c>
      <c r="D11" s="23">
        <v>6.0</v>
      </c>
      <c r="E11" s="23">
        <v>3.0</v>
      </c>
      <c r="F11" s="23">
        <v>5.0</v>
      </c>
      <c r="G11" s="23">
        <v>2.0</v>
      </c>
      <c r="H11" s="23">
        <v>0.0</v>
      </c>
      <c r="I11" s="23">
        <v>4.0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7">
        <f t="shared" si="1"/>
        <v>20</v>
      </c>
    </row>
    <row r="12">
      <c r="A12" s="22" t="s">
        <v>60</v>
      </c>
      <c r="B12" s="23">
        <v>0.0</v>
      </c>
      <c r="C12" s="23">
        <v>0.0</v>
      </c>
      <c r="D12" s="31">
        <v>60.0</v>
      </c>
      <c r="E12" s="7"/>
      <c r="F12" s="7"/>
      <c r="G12" s="7"/>
      <c r="H12" s="7"/>
      <c r="I12" s="8"/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7">
        <f t="shared" si="1"/>
        <v>60</v>
      </c>
    </row>
    <row r="13">
      <c r="A13" s="22" t="s">
        <v>62</v>
      </c>
      <c r="B13" s="23">
        <v>0.0</v>
      </c>
      <c r="C13" s="23">
        <v>0.0</v>
      </c>
      <c r="D13" s="31">
        <v>42.0</v>
      </c>
      <c r="E13" s="7"/>
      <c r="F13" s="7"/>
      <c r="G13" s="7"/>
      <c r="H13" s="8"/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7">
        <f t="shared" si="1"/>
        <v>42</v>
      </c>
    </row>
    <row r="14">
      <c r="A14" s="22" t="s">
        <v>64</v>
      </c>
      <c r="B14" s="23">
        <v>0.0</v>
      </c>
      <c r="C14" s="23">
        <v>0.0</v>
      </c>
      <c r="D14" s="31">
        <v>180.0</v>
      </c>
      <c r="E14" s="7"/>
      <c r="F14" s="7"/>
      <c r="G14" s="7"/>
      <c r="H14" s="7"/>
      <c r="I14" s="7"/>
      <c r="J14" s="7"/>
      <c r="K14" s="7"/>
      <c r="L14" s="8"/>
      <c r="M14" s="23">
        <v>0.0</v>
      </c>
      <c r="N14" s="23">
        <v>0.0</v>
      </c>
      <c r="O14" s="23">
        <v>0.0</v>
      </c>
      <c r="P14" s="27">
        <f t="shared" si="1"/>
        <v>180</v>
      </c>
    </row>
    <row r="15">
      <c r="A15" s="22" t="s">
        <v>67</v>
      </c>
      <c r="B15" s="23">
        <v>0.0</v>
      </c>
      <c r="C15" s="23">
        <v>0.0</v>
      </c>
      <c r="D15" s="23">
        <v>27.0</v>
      </c>
      <c r="E15" s="23">
        <v>35.0</v>
      </c>
      <c r="F15" s="23">
        <v>34.0</v>
      </c>
      <c r="G15" s="23">
        <v>33.0</v>
      </c>
      <c r="H15" s="23">
        <v>35.0</v>
      </c>
      <c r="I15" s="23">
        <v>39.0</v>
      </c>
      <c r="J15" s="23">
        <v>25.0</v>
      </c>
      <c r="K15" s="23">
        <v>25.0</v>
      </c>
      <c r="L15" s="23">
        <v>19.0</v>
      </c>
      <c r="M15" s="23">
        <v>0.0</v>
      </c>
      <c r="N15" s="23">
        <v>0.0</v>
      </c>
      <c r="O15" s="23">
        <v>0.0</v>
      </c>
      <c r="P15" s="27">
        <f t="shared" si="1"/>
        <v>272</v>
      </c>
    </row>
    <row r="16">
      <c r="A16" s="22" t="s">
        <v>69</v>
      </c>
      <c r="B16" s="23">
        <v>0.0</v>
      </c>
      <c r="C16" s="23">
        <v>0.0</v>
      </c>
      <c r="D16" s="23">
        <v>22.0</v>
      </c>
      <c r="E16" s="23">
        <v>29.0</v>
      </c>
      <c r="F16" s="23">
        <v>28.0</v>
      </c>
      <c r="G16" s="23">
        <v>34.0</v>
      </c>
      <c r="H16" s="23">
        <v>43.0</v>
      </c>
      <c r="I16" s="23">
        <v>42.0</v>
      </c>
      <c r="J16" s="23">
        <v>45.0</v>
      </c>
      <c r="K16" s="23">
        <v>49.0</v>
      </c>
      <c r="L16" s="23">
        <v>39.0</v>
      </c>
      <c r="M16" s="23">
        <v>0.0</v>
      </c>
      <c r="N16" s="23">
        <v>0.0</v>
      </c>
      <c r="O16" s="23">
        <v>0.0</v>
      </c>
      <c r="P16" s="27">
        <f t="shared" si="1"/>
        <v>331</v>
      </c>
    </row>
    <row r="17">
      <c r="A17" s="22" t="s">
        <v>71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7">
        <f t="shared" si="1"/>
        <v>0</v>
      </c>
    </row>
    <row r="18">
      <c r="A18" s="22" t="s">
        <v>72</v>
      </c>
      <c r="B18" s="23">
        <v>0.0</v>
      </c>
      <c r="C18" s="23">
        <v>0.0</v>
      </c>
      <c r="D18" s="31">
        <v>90.0</v>
      </c>
      <c r="E18" s="7"/>
      <c r="F18" s="7"/>
      <c r="G18" s="7"/>
      <c r="H18" s="8"/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7">
        <f t="shared" si="1"/>
        <v>90</v>
      </c>
    </row>
    <row r="19">
      <c r="A19" s="22" t="s">
        <v>73</v>
      </c>
      <c r="B19" s="23">
        <v>10.0</v>
      </c>
      <c r="C19" s="23">
        <v>10.0</v>
      </c>
      <c r="D19" s="23">
        <v>14.0</v>
      </c>
      <c r="E19" s="23">
        <v>12.0</v>
      </c>
      <c r="F19" s="23">
        <v>12.0</v>
      </c>
      <c r="G19" s="23">
        <v>10.0</v>
      </c>
      <c r="H19" s="23">
        <v>10.0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7">
        <f t="shared" si="1"/>
        <v>78</v>
      </c>
    </row>
    <row r="20">
      <c r="A20" s="22" t="s">
        <v>75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25.0</v>
      </c>
      <c r="H20" s="23">
        <v>32.0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27">
        <f t="shared" si="1"/>
        <v>57</v>
      </c>
    </row>
    <row r="21">
      <c r="A21" s="22" t="s">
        <v>76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25.0</v>
      </c>
      <c r="J21" s="23">
        <v>34.0</v>
      </c>
      <c r="K21" s="23">
        <v>0.0</v>
      </c>
      <c r="L21" s="23">
        <v>0.0</v>
      </c>
      <c r="M21" s="23">
        <v>0.0</v>
      </c>
      <c r="N21" s="23">
        <v>0.0</v>
      </c>
      <c r="O21" s="23">
        <v>0.0</v>
      </c>
      <c r="P21" s="27">
        <f t="shared" si="1"/>
        <v>59</v>
      </c>
    </row>
    <row r="22">
      <c r="A22" s="22" t="s">
        <v>77</v>
      </c>
      <c r="B22" s="31">
        <v>230.0</v>
      </c>
      <c r="C22" s="7"/>
      <c r="D22" s="7"/>
      <c r="E22" s="7"/>
      <c r="F22" s="7"/>
      <c r="G22" s="7"/>
      <c r="H22" s="7"/>
      <c r="I22" s="7"/>
      <c r="J22" s="7"/>
      <c r="K22" s="7"/>
      <c r="L22" s="8"/>
      <c r="M22" s="27"/>
      <c r="N22" s="27"/>
      <c r="O22" s="27"/>
      <c r="P22" s="27">
        <f t="shared" si="1"/>
        <v>230</v>
      </c>
    </row>
    <row r="23">
      <c r="A23" s="22" t="s">
        <v>78</v>
      </c>
      <c r="B23" s="23">
        <v>0.0</v>
      </c>
      <c r="C23" s="23">
        <v>0.0</v>
      </c>
      <c r="D23" s="23">
        <v>15.0</v>
      </c>
      <c r="E23" s="23">
        <v>15.0</v>
      </c>
      <c r="F23" s="23">
        <v>15.0</v>
      </c>
      <c r="G23" s="23">
        <v>15.0</v>
      </c>
      <c r="H23" s="23">
        <v>15.0</v>
      </c>
      <c r="I23" s="23">
        <v>15.0</v>
      </c>
      <c r="J23" s="23">
        <v>15.0</v>
      </c>
      <c r="K23" s="23">
        <v>15.0</v>
      </c>
      <c r="L23" s="23">
        <v>15.0</v>
      </c>
      <c r="M23" s="23">
        <v>0.0</v>
      </c>
      <c r="N23" s="23">
        <v>0.0</v>
      </c>
      <c r="O23" s="23">
        <v>0.0</v>
      </c>
      <c r="P23" s="27">
        <f t="shared" si="1"/>
        <v>135</v>
      </c>
    </row>
    <row r="24">
      <c r="A24" s="22" t="s">
        <v>79</v>
      </c>
      <c r="B24" s="23">
        <v>0.0</v>
      </c>
      <c r="C24" s="23">
        <v>0.0</v>
      </c>
      <c r="D24" s="31">
        <v>114.0</v>
      </c>
      <c r="E24" s="7"/>
      <c r="F24" s="7"/>
      <c r="G24" s="7"/>
      <c r="H24" s="8"/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23">
        <v>0.0</v>
      </c>
      <c r="O24" s="23">
        <v>0.0</v>
      </c>
      <c r="P24" s="27">
        <f t="shared" si="1"/>
        <v>114</v>
      </c>
    </row>
    <row r="25">
      <c r="A25" s="40" t="s">
        <v>36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>
        <f>SUM(P3:P24)</f>
        <v>3240</v>
      </c>
    </row>
  </sheetData>
  <mergeCells count="11">
    <mergeCell ref="D13:H13"/>
    <mergeCell ref="D18:H18"/>
    <mergeCell ref="B22:L22"/>
    <mergeCell ref="D24:H24"/>
    <mergeCell ref="A1:A2"/>
    <mergeCell ref="B1:O1"/>
    <mergeCell ref="I4:O4"/>
    <mergeCell ref="D8:L8"/>
    <mergeCell ref="D10:L10"/>
    <mergeCell ref="D12:I12"/>
    <mergeCell ref="D14:L14"/>
  </mergeCells>
  <drawing r:id="rId1"/>
</worksheet>
</file>