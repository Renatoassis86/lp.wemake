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Parametros" sheetId="1" r:id="rId4"/>
    <sheet state="visible" name="parametros_livro" sheetId="2" r:id="rId5"/>
    <sheet state="visible" name="Calculadora" sheetId="3" r:id="rId6"/>
    <sheet state="visible" name="Calculadora_livro" sheetId="4" r:id="rId7"/>
    <sheet state="visible" name="Tabela Rapida" sheetId="5" r:id="rId8"/>
    <sheet state="visible" name="Roteiro" sheetId="6" r:id="rId9"/>
    <sheet state="visible" name="Exemplos" sheetId="7" r:id="rId10"/>
  </sheets>
  <definedNames/>
  <calcPr/>
  <extLst>
    <ext uri="GoogleSheetsCustomDataVersion2">
      <go:sheetsCustomData xmlns:go="http://customooxmlschemas.google.com/" r:id="rId11" roundtripDataChecksum="3Zuf91Jodh+8ifXvIImmO65pAdIovxeF7c3ZLzFmePQ="/>
    </ext>
  </extLst>
</workbook>
</file>

<file path=xl/sharedStrings.xml><?xml version="1.0" encoding="utf-8"?>
<sst xmlns="http://schemas.openxmlformats.org/spreadsheetml/2006/main" count="407" uniqueCount="174">
  <si>
    <t>Régua Operacional da Parceria Padrão — We Make (V2.5)</t>
  </si>
  <si>
    <t>Parâmetro</t>
  </si>
  <si>
    <t>Valor</t>
  </si>
  <si>
    <t>Observação</t>
  </si>
  <si>
    <t>Alunos mínimos para Parceria Padrão</t>
  </si>
  <si>
    <t>Abaixo disso, a regra é avaliar Parceria Essencial ou caso estratégico.</t>
  </si>
  <si>
    <t>Prazo padrão (meses)</t>
  </si>
  <si>
    <t>Prazo padrão recomendado para propostas novas.</t>
  </si>
  <si>
    <t>Base por escola (R$/mês)</t>
  </si>
  <si>
    <t>Componente fixo da mensalidade.</t>
  </si>
  <si>
    <t>Valor por aluno (R$/mês)</t>
  </si>
  <si>
    <t>Componente variável da mensalidade.</t>
  </si>
  <si>
    <t>Acréscimo para 2 segmentos</t>
  </si>
  <si>
    <t>Aplicar sobre a mensalidade-base calculada.</t>
  </si>
  <si>
    <t>Acréscimo para 3 segmentos / alta complexidade</t>
  </si>
  <si>
    <t>Taxa de implantação — 1 segmento</t>
  </si>
  <si>
    <t>Cobrança separada da mensalidade. Setup de R$ 5 mil (Viagem, treinameto, estadia etc)</t>
  </si>
  <si>
    <t>Taxa de implantação — 2 segmentos</t>
  </si>
  <si>
    <t>Taxa de implantação — 3 segmentos / alta complexidade</t>
  </si>
  <si>
    <t>Visita extra por dia técnico</t>
  </si>
  <si>
    <t xml:space="preserve">Logística sempre por conta da escola. </t>
  </si>
  <si>
    <t>Limite de desconto normal</t>
  </si>
  <si>
    <t>Até 5% pode ser tratado como negociação normal.</t>
  </si>
  <si>
    <t>Faixa de exceção</t>
  </si>
  <si>
    <t>Acima de 10% não é negociação normal; classificar como exceção estratégica ou rever enquadramento.</t>
  </si>
  <si>
    <t>Reajuste anual</t>
  </si>
  <si>
    <t>IPCA</t>
  </si>
  <si>
    <t>Sem redução por deflação; considerar cláusula de reequilíbrio extraordinário quando necessário.</t>
  </si>
  <si>
    <t>Política de logística</t>
  </si>
  <si>
    <t>Por conta da We Make</t>
  </si>
  <si>
    <t>Passagens, hospedagem e translados do presencial devem ficar explícitos na proposta.</t>
  </si>
  <si>
    <t>Régua Operacional da Parceria Essencial</t>
  </si>
  <si>
    <t>Abaixo disso, a regra é avaliar se é caso estratégico ou recusar.</t>
  </si>
  <si>
    <t>NÃO OFERTAR COMO REGRA. Aplicar sobre a mensalidade-base calculada.</t>
  </si>
  <si>
    <t>Cobrança separada da mensalidade.</t>
  </si>
  <si>
    <t>Logística sempre por conta da escola.</t>
  </si>
  <si>
    <t>Cobrado à parte</t>
  </si>
  <si>
    <t>Notas operacionais</t>
  </si>
  <si>
    <t>Faixa-alvo</t>
  </si>
  <si>
    <t>40 a 99 alunos</t>
  </si>
  <si>
    <t>3 segmentos</t>
  </si>
  <si>
    <t>Não ofertar como regra</t>
  </si>
  <si>
    <t>Presencial</t>
  </si>
  <si>
    <t>Reajuste</t>
  </si>
  <si>
    <t>IPCA anual</t>
  </si>
  <si>
    <t>10 escolas em média 20 alunos</t>
  </si>
  <si>
    <t>Preço por livro</t>
  </si>
  <si>
    <t>Valor Total</t>
  </si>
  <si>
    <t>Total de aluno/escola</t>
  </si>
  <si>
    <t>Valor/escola</t>
  </si>
  <si>
    <t>valor/aluno</t>
  </si>
  <si>
    <t>Markup</t>
  </si>
  <si>
    <t>investimento</t>
  </si>
  <si>
    <t>valor/mensal investimento</t>
  </si>
  <si>
    <t>1º Ano F1</t>
  </si>
  <si>
    <t>2º Ano F1</t>
  </si>
  <si>
    <t>3º Ano F1</t>
  </si>
  <si>
    <t>4º Ano F1</t>
  </si>
  <si>
    <t>5º Ano F1</t>
  </si>
  <si>
    <t>6º Ano F2</t>
  </si>
  <si>
    <t>7º Ano F2</t>
  </si>
  <si>
    <t>8º Ano F2</t>
  </si>
  <si>
    <t>9º Ano F2</t>
  </si>
  <si>
    <t>1º Ano EM</t>
  </si>
  <si>
    <t>2º Ano EM</t>
  </si>
  <si>
    <t>3º Ano EM</t>
  </si>
  <si>
    <t>Calculadora de Proposta — Parceria Padrão</t>
  </si>
  <si>
    <t>Calculadora de Proposta — Parceria Essencial</t>
  </si>
  <si>
    <t>Entradas</t>
  </si>
  <si>
    <t>Resultados</t>
  </si>
  <si>
    <t>Número de alunos</t>
  </si>
  <si>
    <t>Mensalidade base</t>
  </si>
  <si>
    <t>Quantidade de segmentos (1, 2 ou 3)</t>
  </si>
  <si>
    <t>Ajuste por complexidade</t>
  </si>
  <si>
    <t>Quantidade de segmentos (1 ou 2)</t>
  </si>
  <si>
    <t>É caso de alta complexidade? (SIM/NÃO)</t>
  </si>
  <si>
    <t>NÃO</t>
  </si>
  <si>
    <t>Mensalidade final</t>
  </si>
  <si>
    <t>Desconto proposto (%)</t>
  </si>
  <si>
    <t>Mensalidade com desconto</t>
  </si>
  <si>
    <t>Dias técnicos de visita extra</t>
  </si>
  <si>
    <t>Implantação sugerida</t>
  </si>
  <si>
    <t>Visita extra (sem logística)</t>
  </si>
  <si>
    <t>Valor anual (sem desconto)</t>
  </si>
  <si>
    <t>Valor anual (com desconto)</t>
  </si>
  <si>
    <t>Valor do contrato em 48 meses (sem desconto)</t>
  </si>
  <si>
    <t>Valor do contrato em 48 meses (com desconto)</t>
  </si>
  <si>
    <t>Enquadramento sugerido</t>
  </si>
  <si>
    <t>Simulação de composição do investimento por família mensal</t>
  </si>
  <si>
    <t>Regras automáticas</t>
  </si>
  <si>
    <t>SIM</t>
  </si>
  <si>
    <t xml:space="preserve">- </t>
  </si>
  <si>
    <t>Tabela Rápida — Parceria Padrão V2.5</t>
  </si>
  <si>
    <t>Tabela Anual (12 meses)</t>
  </si>
  <si>
    <t>Alunos</t>
  </si>
  <si>
    <t>1 segmento</t>
  </si>
  <si>
    <t>2 segmentos (+10%)</t>
  </si>
  <si>
    <t>3 segmentos / alta complexidade (+15%)</t>
  </si>
  <si>
    <t>Implantação e presencial</t>
  </si>
  <si>
    <t>Taxa de implantação</t>
  </si>
  <si>
    <t>2 segmentos</t>
  </si>
  <si>
    <t>3 segmentos / alta complexidade</t>
  </si>
  <si>
    <t>Logística</t>
  </si>
  <si>
    <t>Sempre por conta da escola</t>
  </si>
  <si>
    <t>Tabela Rápida — Parceria Essencial</t>
  </si>
  <si>
    <t>2 segmentos (+5%)</t>
  </si>
  <si>
    <t>Roteiro de decisão comercial (Padrão) — We Make</t>
  </si>
  <si>
    <t>Etapa</t>
  </si>
  <si>
    <t>Pergunta-chave</t>
  </si>
  <si>
    <t>Regra de decisão</t>
  </si>
  <si>
    <t>Ação</t>
  </si>
  <si>
    <t>1. Enquadramento</t>
  </si>
  <si>
    <t>A escola tem 100 alunos ou mais no escopo contratado?</t>
  </si>
  <si>
    <t>Se NÃO, não entrar automaticamente na Parceria Padrão.</t>
  </si>
  <si>
    <t>Avaliar Parceria Essencial ou caso estratégico.</t>
  </si>
  <si>
    <t>A escola tem entre 40 e 99 alunos no escopo contratado?</t>
  </si>
  <si>
    <t>Se SIM, entrar automaticamente na Parceria Essencial.</t>
  </si>
  <si>
    <t>Avaliar Caso estratégico ou Recusa.</t>
  </si>
  <si>
    <t>2. Complexidade</t>
  </si>
  <si>
    <t>Atende 1, 2 ou 3 segmentos? Há alta complexidade?</t>
  </si>
  <si>
    <t>1 segmento = sem acréscimo; 2 segmentos = +5%; 3 segmentos/alta complexidade = +10%.</t>
  </si>
  <si>
    <t>Aplicar a regra na mensalidade-base.</t>
  </si>
  <si>
    <t>Atende 1 ou 2? Há alta complexidade?</t>
  </si>
  <si>
    <t>1 segmento = sem acréscimo; 2 segmentos = +5%; 3 segmentos/alta complexidade = +8%.</t>
  </si>
  <si>
    <t>3. Implantação</t>
  </si>
  <si>
    <t>Haverá onboarding e implantação presencial?</t>
  </si>
  <si>
    <t>A taxa de implantação é separada da mensalidade. Logística do presencial é da escola.</t>
  </si>
  <si>
    <t>Inserir implantação e explicitar logística na proposta.</t>
  </si>
  <si>
    <t xml:space="preserve">Por regra, NÃO. Em caso de exceção, a escola assume todos os custos. </t>
  </si>
  <si>
    <t>4. Desconto</t>
  </si>
  <si>
    <t>O desconto pedido está dentro da faixa normal?</t>
  </si>
  <si>
    <t>Até 5% = negociação normal. De 6% a 10% = desconto especial com justificativa. Acima de 10% = exceção estratégica ou rever enquadramento.</t>
  </si>
  <si>
    <t>Registrar a justificativa antes de avançar.</t>
  </si>
  <si>
    <t>Até 5% = negociação normal. De 6% a 7% = desconto especial com justificativa. Acima de 7% = exceção estratégica ou rever enquadramento.</t>
  </si>
  <si>
    <t>5. Presencial extra</t>
  </si>
  <si>
    <t>Haverá visita extra fora do escopo padrão?</t>
  </si>
  <si>
    <t>Cobrar R$ 1.800 por dia técnico + logística.</t>
  </si>
  <si>
    <t>Nunca absorver visita extra como cortesia recorrente.</t>
  </si>
  <si>
    <t>6. Fechamento</t>
  </si>
  <si>
    <t>A proposta faz sentido para margem, operação e posicionamento?</t>
  </si>
  <si>
    <t>Uma proposta boa precisa fazer sentido para a escola, para a operação e para a marca.</t>
  </si>
  <si>
    <t>Se a resposta for não, não fechar por ansiedade.</t>
  </si>
  <si>
    <t>Checklist final</t>
  </si>
  <si>
    <t>O que precisa aparecer por escrito na proposta?</t>
  </si>
  <si>
    <t>• Mensalidade</t>
  </si>
  <si>
    <t>Base por escola + valor por aluno + ajuste por complexidade</t>
  </si>
  <si>
    <t>• Implantação</t>
  </si>
  <si>
    <t>Valor separado</t>
  </si>
  <si>
    <t>• Logística</t>
  </si>
  <si>
    <t>Passagens, hospedagem e translados por conta da We Make</t>
  </si>
  <si>
    <t>Passagens, hospedagem e translados por conta da escola</t>
  </si>
  <si>
    <t>• Extras</t>
  </si>
  <si>
    <t>Visitas extras, personalizações e demandas fora do padrão</t>
  </si>
  <si>
    <t>• Reajuste</t>
  </si>
  <si>
    <t>Exemplos prontos de proposta — Parceria Padrão V2.5</t>
  </si>
  <si>
    <t>Cenário</t>
  </si>
  <si>
    <t>Segmentos</t>
  </si>
  <si>
    <t>Mensalidade</t>
  </si>
  <si>
    <t>Implantação</t>
  </si>
  <si>
    <t>Observação comercial</t>
  </si>
  <si>
    <t>Escola de entrada na Padrão</t>
  </si>
  <si>
    <t>Piso mínimo conceitual da Padrão; observar se a escola realmente tem perfil de Padrão.</t>
  </si>
  <si>
    <t>Escola média</t>
  </si>
  <si>
    <t>Cenário bastante provável para escolas cristãs de bom porte.</t>
  </si>
  <si>
    <t>Escola média alta</t>
  </si>
  <si>
    <t>Faixa já mais confortável para a Padrão.</t>
  </si>
  <si>
    <t>Escola maior</t>
  </si>
  <si>
    <t>Boa faixa para capturar mais valor sem sair da lógica do nicho.</t>
  </si>
  <si>
    <t>Escola grande</t>
  </si>
  <si>
    <t>Faixa mais robusta; exige boa clareza de escopo e implantação.</t>
  </si>
  <si>
    <t>Mensagem comercial sugerida</t>
  </si>
  <si>
    <t>A We Make ajuda escolas a implantarem uma educação tecnológica e maker com currículo estruturado, formação docente, acompanhamento contínuo, e coerência e fidelidade com a cosmovisão cristã.</t>
  </si>
  <si>
    <t>Texto operacional para o comercial</t>
  </si>
  <si>
    <t>1) classifique a escola como Padrão, Essencial ou Estratégica; 2) calcule a mensalidade; 3) acrescente implantação; 4) explicite logística; 5) só então negocie desconto.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</si>
</sst>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2">
    <numFmt numFmtId="164" formatCode="R$ #,##0.00"/>
    <numFmt numFmtId="165" formatCode="[$R$ -416]#,##0.00"/>
  </numFmts>
  <fonts count="14">
    <font>
      <sz val="11.0"/>
      <color rgb="FF000000"/>
      <name val="Carlito"/>
      <scheme val="minor"/>
    </font>
    <font>
      <b/>
      <sz val="14.0"/>
      <color rgb="FFFFFFFF"/>
      <name val="Carlito"/>
    </font>
    <font>
      <b/>
      <sz val="11.0"/>
      <color rgb="FF1F4E78"/>
      <name val="Carlito"/>
    </font>
    <font>
      <b/>
      <sz val="11.0"/>
      <color theme="1"/>
      <name val="Carlito"/>
    </font>
    <font>
      <sz val="11.0"/>
      <color theme="1"/>
      <name val="Carlito"/>
    </font>
    <font>
      <color theme="1"/>
      <name val="Carlito"/>
      <scheme val="minor"/>
    </font>
    <font>
      <b/>
      <color theme="1"/>
      <name val="Carlito"/>
      <scheme val="minor"/>
    </font>
    <font>
      <b/>
      <color rgb="FFFFFFFF"/>
      <name val="Carlito"/>
      <scheme val="minor"/>
    </font>
    <font>
      <color rgb="FFFFFFFF"/>
      <name val="Carlito"/>
      <scheme val="minor"/>
    </font>
    <font>
      <b/>
      <sz val="11.0"/>
      <color rgb="FF1F1F1F"/>
      <name val="Carlito"/>
    </font>
    <font>
      <b/>
      <sz val="11.0"/>
      <color rgb="FF333333"/>
      <name val="Carlito"/>
    </font>
    <font>
      <sz val="11.0"/>
      <color rgb="FF333333"/>
      <name val="Carlito"/>
    </font>
    <font>
      <i/>
      <sz val="11.0"/>
      <color rgb="FF555555"/>
      <name val="Carlito"/>
    </font>
    <font>
      <b/>
      <sz val="11.0"/>
      <color rgb="FFFFFFFF"/>
      <name val="Carlito"/>
    </font>
  </fonts>
  <fills count="11">
    <fill>
      <patternFill patternType="none"/>
    </fill>
    <fill>
      <patternFill patternType="lightGray"/>
    </fill>
    <fill>
      <patternFill patternType="solid">
        <fgColor rgb="FF1F4E78"/>
        <bgColor rgb="FF1F4E78"/>
      </patternFill>
    </fill>
    <fill>
      <patternFill patternType="solid">
        <fgColor rgb="FFD9EAF7"/>
        <bgColor rgb="FFD9EAF7"/>
      </patternFill>
    </fill>
    <fill>
      <patternFill patternType="solid">
        <fgColor rgb="FFD9D9D9"/>
        <bgColor rgb="FFD9D9D9"/>
      </patternFill>
    </fill>
    <fill>
      <patternFill patternType="solid">
        <fgColor theme="6"/>
        <bgColor theme="6"/>
      </patternFill>
    </fill>
    <fill>
      <patternFill patternType="solid">
        <fgColor rgb="FFD9EAD3"/>
        <bgColor rgb="FFD9EAD3"/>
      </patternFill>
    </fill>
    <fill>
      <patternFill patternType="solid">
        <fgColor rgb="FFFCE5CD"/>
        <bgColor rgb="FFFCE5CD"/>
      </patternFill>
    </fill>
    <fill>
      <patternFill patternType="solid">
        <fgColor rgb="FF000000"/>
        <bgColor rgb="FF000000"/>
      </patternFill>
    </fill>
    <fill>
      <patternFill patternType="solid">
        <fgColor rgb="FFF3F6F9"/>
        <bgColor rgb="FFF3F6F9"/>
      </patternFill>
    </fill>
    <fill>
      <patternFill patternType="solid">
        <fgColor rgb="FFF4F9F3"/>
        <bgColor rgb="FFF4F9F3"/>
      </patternFill>
    </fill>
  </fills>
  <borders count="1">
    <border/>
  </borders>
  <cellStyleXfs count="1">
    <xf borderId="0" fillId="0" fontId="0" numFmtId="0" applyAlignment="1" applyFont="1"/>
  </cellStyleXfs>
  <cellXfs count="68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shrinkToFit="0" vertical="center" wrapText="1"/>
    </xf>
    <xf borderId="0" fillId="3" fontId="2" numFmtId="0" xfId="0" applyAlignment="1" applyFill="1" applyFont="1">
      <alignment horizontal="center" shrinkToFit="0" vertical="center" wrapText="1"/>
    </xf>
    <xf borderId="0" fillId="0" fontId="3" numFmtId="0" xfId="0" applyAlignment="1" applyFont="1">
      <alignment shrinkToFit="0" wrapText="1"/>
    </xf>
    <xf borderId="0" fillId="0" fontId="4" numFmtId="3" xfId="0" applyAlignment="1" applyFont="1" applyNumberFormat="1">
      <alignment shrinkToFit="0" wrapText="1"/>
    </xf>
    <xf borderId="0" fillId="0" fontId="4" numFmtId="0" xfId="0" applyAlignment="1" applyFont="1">
      <alignment shrinkToFit="0" wrapText="1"/>
    </xf>
    <xf borderId="0" fillId="0" fontId="4" numFmtId="164" xfId="0" applyAlignment="1" applyFont="1" applyNumberFormat="1">
      <alignment shrinkToFit="0" wrapText="1"/>
    </xf>
    <xf borderId="0" fillId="0" fontId="4" numFmtId="164" xfId="0" applyAlignment="1" applyFont="1" applyNumberFormat="1">
      <alignment readingOrder="0" shrinkToFit="0" wrapText="1"/>
    </xf>
    <xf borderId="0" fillId="0" fontId="4" numFmtId="10" xfId="0" applyAlignment="1" applyFont="1" applyNumberFormat="1">
      <alignment readingOrder="0" shrinkToFit="0" wrapText="1"/>
    </xf>
    <xf borderId="0" fillId="0" fontId="4" numFmtId="4" xfId="0" applyAlignment="1" applyFont="1" applyNumberFormat="1">
      <alignment readingOrder="0" shrinkToFit="0" wrapText="1"/>
    </xf>
    <xf borderId="0" fillId="0" fontId="4" numFmtId="0" xfId="0" applyAlignment="1" applyFont="1">
      <alignment readingOrder="0" shrinkToFit="0" wrapText="1"/>
    </xf>
    <xf borderId="0" fillId="0" fontId="4" numFmtId="9" xfId="0" applyAlignment="1" applyFont="1" applyNumberFormat="1">
      <alignment shrinkToFit="0" wrapText="1"/>
    </xf>
    <xf borderId="0" fillId="4" fontId="5" numFmtId="0" xfId="0" applyFill="1" applyFont="1"/>
    <xf borderId="0" fillId="5" fontId="1" numFmtId="0" xfId="0" applyAlignment="1" applyFill="1" applyFont="1">
      <alignment horizontal="center" readingOrder="0" shrinkToFit="0" vertical="center" wrapText="1"/>
    </xf>
    <xf borderId="0" fillId="6" fontId="3" numFmtId="0" xfId="0" applyAlignment="1" applyFill="1" applyFont="1">
      <alignment horizontal="center" shrinkToFit="0" vertical="center" wrapText="1"/>
    </xf>
    <xf borderId="0" fillId="0" fontId="4" numFmtId="3" xfId="0" applyAlignment="1" applyFont="1" applyNumberFormat="1">
      <alignment readingOrder="0" shrinkToFit="0" wrapText="1"/>
    </xf>
    <xf borderId="0" fillId="0" fontId="4" numFmtId="9" xfId="0" applyAlignment="1" applyFont="1" applyNumberFormat="1">
      <alignment readingOrder="0" shrinkToFit="0" wrapText="1"/>
    </xf>
    <xf borderId="0" fillId="7" fontId="3" numFmtId="0" xfId="0" applyAlignment="1" applyFill="1" applyFont="1">
      <alignment vertical="bottom"/>
    </xf>
    <xf borderId="0" fillId="7" fontId="4" numFmtId="0" xfId="0" applyAlignment="1" applyFont="1">
      <alignment vertical="bottom"/>
    </xf>
    <xf borderId="0" fillId="0" fontId="4" numFmtId="0" xfId="0" applyAlignment="1" applyFont="1">
      <alignment vertical="bottom"/>
    </xf>
    <xf borderId="0" fillId="0" fontId="5" numFmtId="164" xfId="0" applyFont="1" applyNumberFormat="1"/>
    <xf borderId="0" fillId="0" fontId="6" numFmtId="0" xfId="0" applyAlignment="1" applyFont="1">
      <alignment readingOrder="0"/>
    </xf>
    <xf borderId="0" fillId="0" fontId="6" numFmtId="0" xfId="0" applyAlignment="1" applyFont="1">
      <alignment horizontal="center" readingOrder="0"/>
    </xf>
    <xf borderId="0" fillId="0" fontId="5" numFmtId="0" xfId="0" applyAlignment="1" applyFont="1">
      <alignment readingOrder="0"/>
    </xf>
    <xf borderId="0" fillId="0" fontId="5" numFmtId="0" xfId="0" applyAlignment="1" applyFont="1">
      <alignment horizontal="center" readingOrder="0"/>
    </xf>
    <xf borderId="0" fillId="0" fontId="5" numFmtId="0" xfId="0" applyAlignment="1" applyFont="1">
      <alignment horizontal="center"/>
    </xf>
    <xf borderId="0" fillId="0" fontId="5" numFmtId="0" xfId="0" applyFont="1"/>
    <xf borderId="0" fillId="0" fontId="5" numFmtId="9" xfId="0" applyAlignment="1" applyFont="1" applyNumberFormat="1">
      <alignment readingOrder="0"/>
    </xf>
    <xf borderId="0" fillId="0" fontId="5" numFmtId="4" xfId="0" applyAlignment="1" applyFont="1" applyNumberFormat="1">
      <alignment horizontal="center"/>
    </xf>
    <xf borderId="0" fillId="0" fontId="5" numFmtId="4" xfId="0" applyFont="1" applyNumberFormat="1"/>
    <xf borderId="0" fillId="8" fontId="7" numFmtId="0" xfId="0" applyAlignment="1" applyFill="1" applyFont="1">
      <alignment horizontal="center"/>
    </xf>
    <xf borderId="0" fillId="8" fontId="8" numFmtId="0" xfId="0" applyFont="1"/>
    <xf borderId="0" fillId="2" fontId="1" numFmtId="0" xfId="0" applyAlignment="1" applyFont="1">
      <alignment horizontal="center" shrinkToFit="0" wrapText="1"/>
    </xf>
    <xf borderId="0" fillId="5" fontId="1" numFmtId="0" xfId="0" applyAlignment="1" applyFont="1">
      <alignment horizontal="center" readingOrder="0" shrinkToFit="0" wrapText="1"/>
    </xf>
    <xf borderId="0" fillId="3" fontId="9" numFmtId="0" xfId="0" applyAlignment="1" applyFont="1">
      <alignment shrinkToFit="0" vertical="center" wrapText="1"/>
    </xf>
    <xf borderId="0" fillId="6" fontId="9" numFmtId="0" xfId="0" applyAlignment="1" applyFont="1">
      <alignment shrinkToFit="0" vertical="center" wrapText="1"/>
    </xf>
    <xf borderId="0" fillId="9" fontId="10" numFmtId="0" xfId="0" applyAlignment="1" applyFill="1" applyFont="1">
      <alignment shrinkToFit="0" wrapText="1"/>
    </xf>
    <xf borderId="0" fillId="9" fontId="11" numFmtId="3" xfId="0" applyAlignment="1" applyFont="1" applyNumberFormat="1">
      <alignment readingOrder="0" shrinkToFit="0" wrapText="1"/>
    </xf>
    <xf borderId="0" fillId="9" fontId="11" numFmtId="164" xfId="0" applyAlignment="1" applyFont="1" applyNumberFormat="1">
      <alignment shrinkToFit="0" wrapText="1"/>
    </xf>
    <xf borderId="0" fillId="10" fontId="10" numFmtId="0" xfId="0" applyAlignment="1" applyFill="1" applyFont="1">
      <alignment shrinkToFit="0" wrapText="1"/>
    </xf>
    <xf borderId="0" fillId="10" fontId="11" numFmtId="3" xfId="0" applyAlignment="1" applyFont="1" applyNumberFormat="1">
      <alignment readingOrder="0" shrinkToFit="0" wrapText="1"/>
    </xf>
    <xf borderId="0" fillId="10" fontId="11" numFmtId="164" xfId="0" applyAlignment="1" applyFont="1" applyNumberFormat="1">
      <alignment shrinkToFit="0" wrapText="1"/>
    </xf>
    <xf borderId="0" fillId="9" fontId="11" numFmtId="9" xfId="0" applyAlignment="1" applyFont="1" applyNumberFormat="1">
      <alignment shrinkToFit="0" wrapText="1"/>
    </xf>
    <xf borderId="0" fillId="10" fontId="10" numFmtId="0" xfId="0" applyAlignment="1" applyFont="1">
      <alignment readingOrder="0" shrinkToFit="0" wrapText="1"/>
    </xf>
    <xf borderId="0" fillId="10" fontId="11" numFmtId="9" xfId="0" applyAlignment="1" applyFont="1" applyNumberFormat="1">
      <alignment shrinkToFit="0" wrapText="1"/>
    </xf>
    <xf borderId="0" fillId="9" fontId="11" numFmtId="0" xfId="0" applyAlignment="1" applyFont="1">
      <alignment readingOrder="0" shrinkToFit="0" wrapText="1"/>
    </xf>
    <xf borderId="0" fillId="10" fontId="11" numFmtId="0" xfId="0" applyAlignment="1" applyFont="1">
      <alignment shrinkToFit="0" wrapText="1"/>
    </xf>
    <xf borderId="0" fillId="9" fontId="11" numFmtId="9" xfId="0" applyAlignment="1" applyFont="1" applyNumberFormat="1">
      <alignment readingOrder="0" shrinkToFit="0" wrapText="1"/>
    </xf>
    <xf borderId="0" fillId="10" fontId="11" numFmtId="9" xfId="0" applyAlignment="1" applyFont="1" applyNumberFormat="1">
      <alignment readingOrder="0" shrinkToFit="0" wrapText="1"/>
    </xf>
    <xf borderId="0" fillId="9" fontId="11" numFmtId="3" xfId="0" applyAlignment="1" applyFont="1" applyNumberFormat="1">
      <alignment shrinkToFit="0" wrapText="1"/>
    </xf>
    <xf borderId="0" fillId="10" fontId="11" numFmtId="3" xfId="0" applyAlignment="1" applyFont="1" applyNumberFormat="1">
      <alignment shrinkToFit="0" wrapText="1"/>
    </xf>
    <xf borderId="0" fillId="9" fontId="11" numFmtId="0" xfId="0" applyAlignment="1" applyFont="1">
      <alignment shrinkToFit="0" wrapText="1"/>
    </xf>
    <xf borderId="0" fillId="9" fontId="11" numFmtId="165" xfId="0" applyAlignment="1" applyFont="1" applyNumberFormat="1">
      <alignment shrinkToFit="0" wrapText="1"/>
    </xf>
    <xf borderId="0" fillId="10" fontId="11" numFmtId="165" xfId="0" applyAlignment="1" applyFont="1" applyNumberFormat="1">
      <alignment shrinkToFit="0" wrapText="1"/>
    </xf>
    <xf borderId="0" fillId="0" fontId="10" numFmtId="0" xfId="0" applyAlignment="1" applyFont="1">
      <alignment shrinkToFit="0" wrapText="1"/>
    </xf>
    <xf borderId="0" fillId="0" fontId="11" numFmtId="165" xfId="0" applyAlignment="1" applyFont="1" applyNumberFormat="1">
      <alignment shrinkToFit="0" wrapText="1"/>
    </xf>
    <xf borderId="0" fillId="9" fontId="12" numFmtId="0" xfId="0" applyAlignment="1" applyFont="1">
      <alignment shrinkToFit="0" wrapText="1"/>
    </xf>
    <xf borderId="0" fillId="10" fontId="12" numFmtId="0" xfId="0" applyAlignment="1" applyFont="1">
      <alignment shrinkToFit="0" wrapText="1"/>
    </xf>
    <xf borderId="0" fillId="0" fontId="4" numFmtId="165" xfId="0" applyAlignment="1" applyFont="1" applyNumberFormat="1">
      <alignment shrinkToFit="0" wrapText="1"/>
    </xf>
    <xf borderId="0" fillId="0" fontId="5" numFmtId="2" xfId="0" applyFont="1" applyNumberFormat="1"/>
    <xf borderId="0" fillId="2" fontId="13" numFmtId="0" xfId="0" applyAlignment="1" applyFont="1">
      <alignment horizontal="center" shrinkToFit="0" vertical="center" wrapText="1"/>
    </xf>
    <xf borderId="0" fillId="5" fontId="1" numFmtId="0" xfId="0" applyAlignment="1" applyFont="1">
      <alignment horizontal="center" shrinkToFit="0" wrapText="1"/>
    </xf>
    <xf borderId="0" fillId="5" fontId="13" numFmtId="0" xfId="0" applyAlignment="1" applyFont="1">
      <alignment horizontal="center" shrinkToFit="0" vertical="center" wrapText="1"/>
    </xf>
    <xf borderId="0" fillId="5" fontId="13" numFmtId="0" xfId="0" applyAlignment="1" applyFont="1">
      <alignment horizontal="center" readingOrder="0" shrinkToFit="0" vertical="center" wrapText="1"/>
    </xf>
    <xf borderId="0" fillId="2" fontId="1" numFmtId="0" xfId="0" applyAlignment="1" applyFont="1">
      <alignment horizontal="center" readingOrder="0" vertical="center"/>
    </xf>
    <xf borderId="0" fillId="5" fontId="1" numFmtId="0" xfId="0" applyAlignment="1" applyFont="1">
      <alignment horizontal="center" readingOrder="0" vertical="center"/>
    </xf>
    <xf borderId="0" fillId="3" fontId="9" numFmtId="0" xfId="0" applyAlignment="1" applyFont="1">
      <alignment vertical="center"/>
    </xf>
    <xf borderId="0" fillId="6" fontId="9" numFmtId="0" xfId="0" applyAlignment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1" Type="http://customschemas.google.com/relationships/workbookmetadata" Target="metadata"/><Relationship Id="rId10" Type="http://schemas.openxmlformats.org/officeDocument/2006/relationships/worksheet" Target="worksheets/sheet7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2.0"/>
    <col customWidth="1" min="2" max="2" width="20.88"/>
    <col customWidth="1" min="3" max="3" width="111.25"/>
    <col customWidth="1" min="4" max="26" width="8.63"/>
  </cols>
  <sheetData>
    <row r="1" ht="33.0" customHeight="1">
      <c r="A1" s="1" t="s">
        <v>0</v>
      </c>
    </row>
    <row r="2">
      <c r="A2" s="2" t="s">
        <v>1</v>
      </c>
      <c r="B2" s="2" t="s">
        <v>2</v>
      </c>
      <c r="C2" s="2" t="s">
        <v>3</v>
      </c>
    </row>
    <row r="3" ht="27.75" customHeight="1">
      <c r="A3" s="3" t="s">
        <v>4</v>
      </c>
      <c r="B3" s="4">
        <v>100.0</v>
      </c>
      <c r="C3" s="5" t="s">
        <v>5</v>
      </c>
    </row>
    <row r="4" ht="27.75" customHeight="1">
      <c r="A4" s="3" t="s">
        <v>6</v>
      </c>
      <c r="B4" s="4">
        <v>48.0</v>
      </c>
      <c r="C4" s="5" t="s">
        <v>7</v>
      </c>
    </row>
    <row r="5" ht="27.75" customHeight="1">
      <c r="A5" s="3" t="s">
        <v>8</v>
      </c>
      <c r="B5" s="6">
        <v>2200.0</v>
      </c>
      <c r="C5" s="5" t="s">
        <v>9</v>
      </c>
    </row>
    <row r="6" ht="27.75" customHeight="1">
      <c r="A6" s="3" t="s">
        <v>10</v>
      </c>
      <c r="B6" s="7">
        <v>12.75</v>
      </c>
      <c r="C6" s="5" t="s">
        <v>11</v>
      </c>
    </row>
    <row r="7" ht="27.75" customHeight="1">
      <c r="A7" s="3" t="s">
        <v>12</v>
      </c>
      <c r="B7" s="8">
        <v>0.05</v>
      </c>
      <c r="C7" s="5" t="s">
        <v>13</v>
      </c>
    </row>
    <row r="8" ht="27.75" customHeight="1">
      <c r="A8" s="3" t="s">
        <v>14</v>
      </c>
      <c r="B8" s="8">
        <v>0.1</v>
      </c>
      <c r="C8" s="5" t="s">
        <v>13</v>
      </c>
    </row>
    <row r="9" ht="27.75" customHeight="1">
      <c r="A9" s="3" t="s">
        <v>15</v>
      </c>
      <c r="B9" s="9">
        <v>0.0</v>
      </c>
      <c r="C9" s="10" t="s">
        <v>16</v>
      </c>
    </row>
    <row r="10" ht="27.75" customHeight="1">
      <c r="A10" s="3" t="s">
        <v>17</v>
      </c>
      <c r="B10" s="9">
        <v>0.0</v>
      </c>
      <c r="C10" s="10" t="s">
        <v>16</v>
      </c>
    </row>
    <row r="11" ht="27.75" customHeight="1">
      <c r="A11" s="3" t="s">
        <v>18</v>
      </c>
      <c r="B11" s="9">
        <v>0.0</v>
      </c>
      <c r="C11" s="10" t="s">
        <v>16</v>
      </c>
    </row>
    <row r="12" ht="27.75" customHeight="1">
      <c r="A12" s="3" t="s">
        <v>19</v>
      </c>
      <c r="B12" s="7">
        <v>0.0</v>
      </c>
      <c r="C12" s="10" t="s">
        <v>20</v>
      </c>
    </row>
    <row r="13" ht="27.75" customHeight="1">
      <c r="A13" s="3" t="s">
        <v>21</v>
      </c>
      <c r="B13" s="11">
        <v>0.05</v>
      </c>
      <c r="C13" s="5" t="s">
        <v>22</v>
      </c>
    </row>
    <row r="14" ht="27.75" customHeight="1">
      <c r="A14" s="3" t="s">
        <v>23</v>
      </c>
      <c r="B14" s="11">
        <v>0.1</v>
      </c>
      <c r="C14" s="5" t="s">
        <v>24</v>
      </c>
    </row>
    <row r="15" ht="27.75" customHeight="1">
      <c r="A15" s="3" t="s">
        <v>25</v>
      </c>
      <c r="B15" s="5" t="s">
        <v>26</v>
      </c>
      <c r="C15" s="5" t="s">
        <v>27</v>
      </c>
    </row>
    <row r="16" ht="27.75" customHeight="1">
      <c r="A16" s="3" t="s">
        <v>28</v>
      </c>
      <c r="B16" s="10" t="s">
        <v>29</v>
      </c>
      <c r="C16" s="5" t="s">
        <v>30</v>
      </c>
    </row>
    <row r="17">
      <c r="A17" s="12"/>
      <c r="B17" s="12"/>
      <c r="C17" s="12"/>
    </row>
    <row r="18">
      <c r="A18" s="12"/>
      <c r="B18" s="12"/>
      <c r="C18" s="12"/>
    </row>
    <row r="19" ht="33.0" customHeight="1">
      <c r="A19" s="13" t="s">
        <v>31</v>
      </c>
    </row>
    <row r="20">
      <c r="A20" s="14" t="s">
        <v>1</v>
      </c>
      <c r="B20" s="14" t="s">
        <v>2</v>
      </c>
      <c r="C20" s="14" t="s">
        <v>3</v>
      </c>
    </row>
    <row r="21" ht="27.75" customHeight="1">
      <c r="A21" s="3" t="s">
        <v>4</v>
      </c>
      <c r="B21" s="15">
        <v>40.0</v>
      </c>
      <c r="C21" s="10" t="s">
        <v>32</v>
      </c>
    </row>
    <row r="22" ht="27.75" customHeight="1">
      <c r="A22" s="3" t="s">
        <v>6</v>
      </c>
      <c r="B22" s="4">
        <v>48.0</v>
      </c>
      <c r="C22" s="5" t="s">
        <v>7</v>
      </c>
    </row>
    <row r="23" ht="27.75" customHeight="1">
      <c r="A23" s="3" t="s">
        <v>8</v>
      </c>
      <c r="B23" s="7">
        <v>1200.0</v>
      </c>
      <c r="C23" s="5" t="s">
        <v>9</v>
      </c>
    </row>
    <row r="24" ht="27.75" customHeight="1">
      <c r="A24" s="3" t="s">
        <v>10</v>
      </c>
      <c r="B24" s="7">
        <v>9.25</v>
      </c>
      <c r="C24" s="5" t="s">
        <v>11</v>
      </c>
    </row>
    <row r="25" ht="27.75" customHeight="1">
      <c r="A25" s="3" t="s">
        <v>12</v>
      </c>
      <c r="B25" s="7">
        <v>0.05</v>
      </c>
      <c r="C25" s="5" t="s">
        <v>13</v>
      </c>
    </row>
    <row r="26" ht="27.75" customHeight="1">
      <c r="A26" s="3" t="s">
        <v>14</v>
      </c>
      <c r="B26" s="7">
        <v>0.08</v>
      </c>
      <c r="C26" s="10" t="s">
        <v>33</v>
      </c>
    </row>
    <row r="27" ht="27.75" customHeight="1">
      <c r="A27" s="3" t="s">
        <v>15</v>
      </c>
      <c r="B27" s="7">
        <v>0.0</v>
      </c>
      <c r="C27" s="5" t="s">
        <v>34</v>
      </c>
    </row>
    <row r="28" ht="27.75" customHeight="1">
      <c r="A28" s="3" t="s">
        <v>17</v>
      </c>
      <c r="B28" s="7">
        <v>0.0</v>
      </c>
      <c r="C28" s="5" t="s">
        <v>34</v>
      </c>
    </row>
    <row r="29" ht="27.75" customHeight="1">
      <c r="A29" s="3" t="s">
        <v>18</v>
      </c>
      <c r="B29" s="7">
        <v>0.0</v>
      </c>
      <c r="C29" s="5" t="s">
        <v>34</v>
      </c>
    </row>
    <row r="30" ht="27.75" customHeight="1">
      <c r="A30" s="3" t="s">
        <v>19</v>
      </c>
      <c r="B30" s="7">
        <v>1800.0</v>
      </c>
      <c r="C30" s="5" t="s">
        <v>35</v>
      </c>
    </row>
    <row r="31" ht="27.75" customHeight="1">
      <c r="A31" s="3" t="s">
        <v>21</v>
      </c>
      <c r="B31" s="11">
        <v>0.05</v>
      </c>
      <c r="C31" s="5" t="s">
        <v>22</v>
      </c>
    </row>
    <row r="32" ht="27.75" customHeight="1">
      <c r="A32" s="3" t="s">
        <v>23</v>
      </c>
      <c r="B32" s="16">
        <v>0.07</v>
      </c>
      <c r="C32" s="5" t="s">
        <v>24</v>
      </c>
    </row>
    <row r="33" ht="27.75" customHeight="1">
      <c r="A33" s="3" t="s">
        <v>25</v>
      </c>
      <c r="B33" s="5" t="s">
        <v>26</v>
      </c>
      <c r="C33" s="5" t="s">
        <v>27</v>
      </c>
    </row>
    <row r="34" ht="27.75" customHeight="1">
      <c r="A34" s="3" t="s">
        <v>28</v>
      </c>
      <c r="B34" s="10" t="s">
        <v>36</v>
      </c>
      <c r="C34" s="5" t="s">
        <v>30</v>
      </c>
    </row>
    <row r="35" ht="15.75" customHeight="1"/>
    <row r="36" ht="15.75" customHeight="1"/>
    <row r="37" ht="15.75" customHeight="1">
      <c r="B37" s="17" t="s">
        <v>37</v>
      </c>
      <c r="C37" s="18"/>
    </row>
    <row r="38" ht="15.75" customHeight="1">
      <c r="B38" s="19" t="s">
        <v>38</v>
      </c>
      <c r="C38" s="19" t="s">
        <v>39</v>
      </c>
    </row>
    <row r="39" ht="15.75" customHeight="1">
      <c r="B39" s="19" t="s">
        <v>40</v>
      </c>
      <c r="C39" s="19" t="s">
        <v>41</v>
      </c>
    </row>
    <row r="40" ht="15.75" customHeight="1">
      <c r="B40" s="19" t="s">
        <v>42</v>
      </c>
      <c r="C40" s="19" t="s">
        <v>36</v>
      </c>
    </row>
    <row r="41" ht="15.75" customHeight="1">
      <c r="B41" s="19" t="s">
        <v>43</v>
      </c>
      <c r="C41" s="19" t="s">
        <v>44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A1:C1"/>
    <mergeCell ref="A19:C19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outlinePr summaryBelow="0" summaryRight="0"/>
  </sheetPr>
  <sheetViews>
    <sheetView workbookViewId="0"/>
  </sheetViews>
  <sheetFormatPr customHeight="1" defaultColWidth="12.63" defaultRowHeight="15.0"/>
  <cols>
    <col customWidth="1" min="1" max="1" width="62.0"/>
    <col customWidth="1" min="2" max="2" width="24.13"/>
    <col customWidth="1" min="3" max="3" width="30.25"/>
    <col customWidth="1" min="4" max="4" width="8.63"/>
    <col customWidth="1" min="5" max="5" width="16.75"/>
    <col customWidth="1" min="6" max="6" width="8.63"/>
    <col customWidth="1" min="7" max="7" width="9.63"/>
    <col customWidth="1" min="8" max="8" width="8.63"/>
    <col customWidth="1" min="9" max="9" width="10.75"/>
    <col customWidth="1" min="10" max="26" width="8.63"/>
  </cols>
  <sheetData>
    <row r="1" ht="33.0" customHeight="1">
      <c r="A1" s="1" t="s">
        <v>0</v>
      </c>
    </row>
    <row r="2">
      <c r="A2" s="2" t="s">
        <v>1</v>
      </c>
      <c r="B2" s="2" t="s">
        <v>2</v>
      </c>
      <c r="C2" s="2" t="s">
        <v>3</v>
      </c>
    </row>
    <row r="3" ht="27.75" customHeight="1">
      <c r="A3" s="3" t="s">
        <v>4</v>
      </c>
      <c r="B3" s="4">
        <v>100.0</v>
      </c>
      <c r="C3" s="5" t="s">
        <v>5</v>
      </c>
    </row>
    <row r="4" ht="27.75" customHeight="1">
      <c r="A4" s="3" t="s">
        <v>6</v>
      </c>
      <c r="B4" s="4">
        <v>48.0</v>
      </c>
      <c r="C4" s="5" t="s">
        <v>7</v>
      </c>
    </row>
    <row r="5" ht="27.75" customHeight="1">
      <c r="A5" s="3" t="s">
        <v>8</v>
      </c>
      <c r="B5" s="6">
        <v>2200.0</v>
      </c>
      <c r="C5" s="5" t="s">
        <v>9</v>
      </c>
    </row>
    <row r="6" ht="27.75" customHeight="1">
      <c r="A6" s="3" t="s">
        <v>10</v>
      </c>
      <c r="B6" s="7">
        <v>16.5</v>
      </c>
      <c r="C6" s="5" t="s">
        <v>11</v>
      </c>
      <c r="E6" s="20">
        <f>(B3*B6)+B5</f>
        <v>3850</v>
      </c>
    </row>
    <row r="7" ht="27.75" customHeight="1">
      <c r="A7" s="3" t="s">
        <v>12</v>
      </c>
      <c r="B7" s="8">
        <v>0.05</v>
      </c>
      <c r="C7" s="5" t="s">
        <v>13</v>
      </c>
    </row>
    <row r="8" ht="27.75" customHeight="1">
      <c r="A8" s="3" t="s">
        <v>14</v>
      </c>
      <c r="B8" s="8">
        <v>0.1</v>
      </c>
      <c r="C8" s="5" t="s">
        <v>13</v>
      </c>
    </row>
    <row r="9" ht="27.75" customHeight="1">
      <c r="A9" s="3" t="s">
        <v>15</v>
      </c>
      <c r="B9" s="9">
        <v>0.0</v>
      </c>
      <c r="C9" s="10" t="s">
        <v>16</v>
      </c>
    </row>
    <row r="10" ht="27.75" customHeight="1">
      <c r="A10" s="3" t="s">
        <v>17</v>
      </c>
      <c r="B10" s="9">
        <v>0.0</v>
      </c>
      <c r="C10" s="10" t="s">
        <v>16</v>
      </c>
    </row>
    <row r="11" ht="27.75" customHeight="1">
      <c r="A11" s="3" t="s">
        <v>18</v>
      </c>
      <c r="B11" s="9">
        <v>0.0</v>
      </c>
      <c r="C11" s="10" t="s">
        <v>16</v>
      </c>
    </row>
    <row r="12" ht="27.75" customHeight="1">
      <c r="A12" s="3" t="s">
        <v>19</v>
      </c>
      <c r="B12" s="7">
        <v>0.0</v>
      </c>
      <c r="C12" s="10" t="s">
        <v>20</v>
      </c>
    </row>
    <row r="13" ht="27.75" customHeight="1">
      <c r="A13" s="3" t="s">
        <v>21</v>
      </c>
      <c r="B13" s="11">
        <v>0.05</v>
      </c>
      <c r="C13" s="5" t="s">
        <v>22</v>
      </c>
    </row>
    <row r="14" ht="27.75" customHeight="1">
      <c r="A14" s="3" t="s">
        <v>23</v>
      </c>
      <c r="B14" s="11">
        <v>0.1</v>
      </c>
      <c r="C14" s="5" t="s">
        <v>24</v>
      </c>
    </row>
    <row r="15" ht="27.75" customHeight="1">
      <c r="A15" s="3" t="s">
        <v>25</v>
      </c>
      <c r="B15" s="5" t="s">
        <v>26</v>
      </c>
      <c r="C15" s="5" t="s">
        <v>27</v>
      </c>
    </row>
    <row r="16" ht="27.75" customHeight="1">
      <c r="A16" s="3" t="s">
        <v>28</v>
      </c>
      <c r="B16" s="10" t="s">
        <v>29</v>
      </c>
      <c r="C16" s="5" t="s">
        <v>30</v>
      </c>
    </row>
    <row r="17">
      <c r="A17" s="12"/>
      <c r="B17" s="12"/>
      <c r="C17" s="12"/>
    </row>
    <row r="18">
      <c r="A18" s="12"/>
      <c r="B18" s="12"/>
      <c r="C18" s="12"/>
    </row>
    <row r="19" ht="33.0" customHeight="1">
      <c r="A19" s="13" t="s">
        <v>31</v>
      </c>
    </row>
    <row r="20">
      <c r="A20" s="14" t="s">
        <v>1</v>
      </c>
      <c r="B20" s="14" t="s">
        <v>2</v>
      </c>
      <c r="C20" s="14" t="s">
        <v>3</v>
      </c>
    </row>
    <row r="21" ht="27.75" customHeight="1">
      <c r="A21" s="3" t="s">
        <v>4</v>
      </c>
      <c r="B21" s="15">
        <v>40.0</v>
      </c>
      <c r="C21" s="10" t="s">
        <v>32</v>
      </c>
    </row>
    <row r="22" ht="27.75" customHeight="1">
      <c r="A22" s="3" t="s">
        <v>6</v>
      </c>
      <c r="B22" s="4">
        <v>48.0</v>
      </c>
      <c r="C22" s="5" t="s">
        <v>7</v>
      </c>
    </row>
    <row r="23" ht="27.75" customHeight="1">
      <c r="A23" s="3" t="s">
        <v>8</v>
      </c>
      <c r="B23" s="7">
        <v>1200.0</v>
      </c>
      <c r="C23" s="5" t="s">
        <v>9</v>
      </c>
    </row>
    <row r="24" ht="27.75" customHeight="1">
      <c r="A24" s="3" t="s">
        <v>10</v>
      </c>
      <c r="B24" s="7">
        <v>16.5</v>
      </c>
      <c r="C24" s="5" t="s">
        <v>11</v>
      </c>
    </row>
    <row r="25" ht="27.75" customHeight="1">
      <c r="A25" s="3" t="s">
        <v>12</v>
      </c>
      <c r="B25" s="8">
        <v>0.05</v>
      </c>
      <c r="C25" s="5" t="s">
        <v>13</v>
      </c>
    </row>
    <row r="26" ht="27.75" customHeight="1">
      <c r="A26" s="3" t="s">
        <v>14</v>
      </c>
      <c r="B26" s="8">
        <v>0.08</v>
      </c>
      <c r="C26" s="10" t="s">
        <v>33</v>
      </c>
    </row>
    <row r="27" ht="27.75" customHeight="1">
      <c r="A27" s="3" t="s">
        <v>15</v>
      </c>
      <c r="B27" s="7">
        <v>0.0</v>
      </c>
      <c r="C27" s="5" t="s">
        <v>34</v>
      </c>
    </row>
    <row r="28" ht="27.75" customHeight="1">
      <c r="A28" s="3" t="s">
        <v>17</v>
      </c>
      <c r="B28" s="7">
        <v>0.0</v>
      </c>
      <c r="C28" s="5" t="s">
        <v>34</v>
      </c>
    </row>
    <row r="29" ht="27.75" customHeight="1">
      <c r="A29" s="3" t="s">
        <v>18</v>
      </c>
      <c r="B29" s="7">
        <v>0.0</v>
      </c>
      <c r="C29" s="5" t="s">
        <v>34</v>
      </c>
    </row>
    <row r="30" ht="27.75" customHeight="1">
      <c r="A30" s="3" t="s">
        <v>19</v>
      </c>
      <c r="B30" s="7">
        <v>1800.0</v>
      </c>
      <c r="C30" s="5" t="s">
        <v>35</v>
      </c>
    </row>
    <row r="31" ht="27.75" customHeight="1">
      <c r="A31" s="3" t="s">
        <v>21</v>
      </c>
      <c r="B31" s="11">
        <v>0.05</v>
      </c>
      <c r="C31" s="5" t="s">
        <v>22</v>
      </c>
    </row>
    <row r="32" ht="27.75" customHeight="1">
      <c r="A32" s="3" t="s">
        <v>23</v>
      </c>
      <c r="B32" s="16">
        <v>0.07</v>
      </c>
      <c r="C32" s="5" t="s">
        <v>24</v>
      </c>
    </row>
    <row r="33" ht="27.75" customHeight="1">
      <c r="A33" s="3" t="s">
        <v>25</v>
      </c>
      <c r="B33" s="5" t="s">
        <v>26</v>
      </c>
      <c r="C33" s="5" t="s">
        <v>27</v>
      </c>
    </row>
    <row r="34" ht="27.75" customHeight="1">
      <c r="A34" s="3" t="s">
        <v>28</v>
      </c>
      <c r="B34" s="10" t="s">
        <v>36</v>
      </c>
      <c r="C34" s="5" t="s">
        <v>30</v>
      </c>
    </row>
    <row r="35" ht="15.75" customHeight="1"/>
    <row r="36" ht="15.75" customHeight="1"/>
    <row r="37" ht="15.75" customHeight="1">
      <c r="B37" s="17" t="s">
        <v>37</v>
      </c>
      <c r="C37" s="18"/>
    </row>
    <row r="38" ht="15.75" customHeight="1">
      <c r="B38" s="19" t="s">
        <v>38</v>
      </c>
      <c r="C38" s="19" t="s">
        <v>39</v>
      </c>
    </row>
    <row r="39" ht="15.75" customHeight="1">
      <c r="B39" s="19" t="s">
        <v>40</v>
      </c>
      <c r="C39" s="19" t="s">
        <v>41</v>
      </c>
    </row>
    <row r="40" ht="15.75" customHeight="1">
      <c r="B40" s="19" t="s">
        <v>42</v>
      </c>
      <c r="C40" s="19" t="s">
        <v>36</v>
      </c>
    </row>
    <row r="41" ht="15.75" customHeight="1">
      <c r="B41" s="19" t="s">
        <v>43</v>
      </c>
      <c r="C41" s="19" t="s">
        <v>44</v>
      </c>
    </row>
    <row r="42" ht="15.75" customHeight="1"/>
    <row r="43" ht="15.75" customHeight="1"/>
    <row r="44" ht="15.75" customHeight="1"/>
    <row r="45" ht="15.75" customHeight="1"/>
    <row r="46" ht="15.75" customHeight="1"/>
    <row r="47" ht="15.75" customHeight="1">
      <c r="B47" s="21" t="s">
        <v>45</v>
      </c>
      <c r="C47" s="22" t="s">
        <v>46</v>
      </c>
      <c r="D47" s="21" t="s">
        <v>47</v>
      </c>
      <c r="E47" s="23" t="s">
        <v>48</v>
      </c>
      <c r="F47" s="23" t="s">
        <v>49</v>
      </c>
      <c r="G47" s="23" t="s">
        <v>50</v>
      </c>
      <c r="H47" s="23" t="s">
        <v>51</v>
      </c>
      <c r="I47" s="23" t="s">
        <v>52</v>
      </c>
      <c r="J47" s="23" t="s">
        <v>53</v>
      </c>
    </row>
    <row r="48" ht="15.75" customHeight="1">
      <c r="A48" s="23" t="s">
        <v>54</v>
      </c>
      <c r="B48" s="24">
        <v>200.0</v>
      </c>
      <c r="C48" s="25">
        <f t="shared" ref="C48:C59" si="1">80</f>
        <v>80</v>
      </c>
      <c r="D48" s="25">
        <f t="shared" ref="D48:D59" si="2">B48*C48</f>
        <v>16000</v>
      </c>
      <c r="E48" s="23">
        <v>20.0</v>
      </c>
      <c r="F48" s="26">
        <f t="shared" ref="F48:F59" si="3">E48*C48</f>
        <v>1600</v>
      </c>
      <c r="G48" s="25">
        <f t="shared" ref="G48:G59" si="4">F48/E48</f>
        <v>80</v>
      </c>
      <c r="H48" s="27">
        <v>1.0</v>
      </c>
      <c r="I48" s="28">
        <f t="shared" ref="I48:I59" si="5">(G48*H48)+G48</f>
        <v>160</v>
      </c>
      <c r="J48" s="29">
        <f t="shared" ref="J48:J59" si="6">I48/12</f>
        <v>13.33333333</v>
      </c>
    </row>
    <row r="49" ht="15.75" customHeight="1">
      <c r="A49" s="23" t="s">
        <v>55</v>
      </c>
      <c r="B49" s="24">
        <v>200.0</v>
      </c>
      <c r="C49" s="25">
        <f t="shared" si="1"/>
        <v>80</v>
      </c>
      <c r="D49" s="25">
        <f t="shared" si="2"/>
        <v>16000</v>
      </c>
      <c r="E49" s="23">
        <v>20.0</v>
      </c>
      <c r="F49" s="26">
        <f t="shared" si="3"/>
        <v>1600</v>
      </c>
      <c r="G49" s="25">
        <f t="shared" si="4"/>
        <v>80</v>
      </c>
      <c r="H49" s="27">
        <v>1.0</v>
      </c>
      <c r="I49" s="28">
        <f t="shared" si="5"/>
        <v>160</v>
      </c>
      <c r="J49" s="29">
        <f t="shared" si="6"/>
        <v>13.33333333</v>
      </c>
    </row>
    <row r="50" ht="15.75" customHeight="1">
      <c r="A50" s="23" t="s">
        <v>56</v>
      </c>
      <c r="B50" s="24">
        <v>200.0</v>
      </c>
      <c r="C50" s="25">
        <f t="shared" si="1"/>
        <v>80</v>
      </c>
      <c r="D50" s="25">
        <f t="shared" si="2"/>
        <v>16000</v>
      </c>
      <c r="E50" s="23">
        <v>20.0</v>
      </c>
      <c r="F50" s="26">
        <f t="shared" si="3"/>
        <v>1600</v>
      </c>
      <c r="G50" s="25">
        <f t="shared" si="4"/>
        <v>80</v>
      </c>
      <c r="H50" s="27">
        <v>1.0</v>
      </c>
      <c r="I50" s="28">
        <f t="shared" si="5"/>
        <v>160</v>
      </c>
      <c r="J50" s="29">
        <f t="shared" si="6"/>
        <v>13.33333333</v>
      </c>
    </row>
    <row r="51" ht="15.75" customHeight="1">
      <c r="A51" s="23" t="s">
        <v>57</v>
      </c>
      <c r="B51" s="24">
        <v>200.0</v>
      </c>
      <c r="C51" s="25">
        <f t="shared" si="1"/>
        <v>80</v>
      </c>
      <c r="D51" s="25">
        <f t="shared" si="2"/>
        <v>16000</v>
      </c>
      <c r="E51" s="23">
        <v>20.0</v>
      </c>
      <c r="F51" s="26">
        <f t="shared" si="3"/>
        <v>1600</v>
      </c>
      <c r="G51" s="25">
        <f t="shared" si="4"/>
        <v>80</v>
      </c>
      <c r="H51" s="27">
        <v>1.0</v>
      </c>
      <c r="I51" s="28">
        <f t="shared" si="5"/>
        <v>160</v>
      </c>
      <c r="J51" s="29">
        <f t="shared" si="6"/>
        <v>13.33333333</v>
      </c>
    </row>
    <row r="52" ht="15.75" customHeight="1">
      <c r="A52" s="23" t="s">
        <v>58</v>
      </c>
      <c r="B52" s="24">
        <v>200.0</v>
      </c>
      <c r="C52" s="25">
        <f t="shared" si="1"/>
        <v>80</v>
      </c>
      <c r="D52" s="25">
        <f t="shared" si="2"/>
        <v>16000</v>
      </c>
      <c r="E52" s="23">
        <v>20.0</v>
      </c>
      <c r="F52" s="26">
        <f t="shared" si="3"/>
        <v>1600</v>
      </c>
      <c r="G52" s="25">
        <f t="shared" si="4"/>
        <v>80</v>
      </c>
      <c r="H52" s="27">
        <v>1.0</v>
      </c>
      <c r="I52" s="28">
        <f t="shared" si="5"/>
        <v>160</v>
      </c>
      <c r="J52" s="29">
        <f t="shared" si="6"/>
        <v>13.33333333</v>
      </c>
    </row>
    <row r="53" ht="15.75" customHeight="1">
      <c r="A53" s="23" t="s">
        <v>59</v>
      </c>
      <c r="B53" s="24">
        <v>200.0</v>
      </c>
      <c r="C53" s="25">
        <f t="shared" si="1"/>
        <v>80</v>
      </c>
      <c r="D53" s="25">
        <f t="shared" si="2"/>
        <v>16000</v>
      </c>
      <c r="E53" s="23">
        <v>20.0</v>
      </c>
      <c r="F53" s="26">
        <f t="shared" si="3"/>
        <v>1600</v>
      </c>
      <c r="G53" s="25">
        <f t="shared" si="4"/>
        <v>80</v>
      </c>
      <c r="H53" s="27">
        <v>1.0</v>
      </c>
      <c r="I53" s="28">
        <f t="shared" si="5"/>
        <v>160</v>
      </c>
      <c r="J53" s="29">
        <f t="shared" si="6"/>
        <v>13.33333333</v>
      </c>
    </row>
    <row r="54" ht="15.75" customHeight="1">
      <c r="A54" s="23" t="s">
        <v>60</v>
      </c>
      <c r="B54" s="24">
        <v>200.0</v>
      </c>
      <c r="C54" s="25">
        <f t="shared" si="1"/>
        <v>80</v>
      </c>
      <c r="D54" s="25">
        <f t="shared" si="2"/>
        <v>16000</v>
      </c>
      <c r="E54" s="23">
        <v>20.0</v>
      </c>
      <c r="F54" s="26">
        <f t="shared" si="3"/>
        <v>1600</v>
      </c>
      <c r="G54" s="25">
        <f t="shared" si="4"/>
        <v>80</v>
      </c>
      <c r="H54" s="27">
        <v>1.0</v>
      </c>
      <c r="I54" s="28">
        <f t="shared" si="5"/>
        <v>160</v>
      </c>
      <c r="J54" s="29">
        <f t="shared" si="6"/>
        <v>13.33333333</v>
      </c>
    </row>
    <row r="55" ht="15.75" customHeight="1">
      <c r="A55" s="23" t="s">
        <v>61</v>
      </c>
      <c r="B55" s="24">
        <v>200.0</v>
      </c>
      <c r="C55" s="25">
        <f t="shared" si="1"/>
        <v>80</v>
      </c>
      <c r="D55" s="25">
        <f t="shared" si="2"/>
        <v>16000</v>
      </c>
      <c r="E55" s="23">
        <v>20.0</v>
      </c>
      <c r="F55" s="26">
        <f t="shared" si="3"/>
        <v>1600</v>
      </c>
      <c r="G55" s="25">
        <f t="shared" si="4"/>
        <v>80</v>
      </c>
      <c r="H55" s="27">
        <v>1.0</v>
      </c>
      <c r="I55" s="28">
        <f t="shared" si="5"/>
        <v>160</v>
      </c>
      <c r="J55" s="29">
        <f t="shared" si="6"/>
        <v>13.33333333</v>
      </c>
    </row>
    <row r="56" ht="15.75" customHeight="1">
      <c r="A56" s="23" t="s">
        <v>62</v>
      </c>
      <c r="B56" s="24">
        <v>200.0</v>
      </c>
      <c r="C56" s="25">
        <f t="shared" si="1"/>
        <v>80</v>
      </c>
      <c r="D56" s="25">
        <f t="shared" si="2"/>
        <v>16000</v>
      </c>
      <c r="E56" s="23">
        <v>20.0</v>
      </c>
      <c r="F56" s="26">
        <f t="shared" si="3"/>
        <v>1600</v>
      </c>
      <c r="G56" s="25">
        <f t="shared" si="4"/>
        <v>80</v>
      </c>
      <c r="H56" s="27">
        <v>1.0</v>
      </c>
      <c r="I56" s="28">
        <f t="shared" si="5"/>
        <v>160</v>
      </c>
      <c r="J56" s="29">
        <f t="shared" si="6"/>
        <v>13.33333333</v>
      </c>
    </row>
    <row r="57" ht="15.75" customHeight="1">
      <c r="A57" s="23" t="s">
        <v>63</v>
      </c>
      <c r="B57" s="24">
        <v>200.0</v>
      </c>
      <c r="C57" s="25">
        <f t="shared" si="1"/>
        <v>80</v>
      </c>
      <c r="D57" s="25">
        <f t="shared" si="2"/>
        <v>16000</v>
      </c>
      <c r="E57" s="23">
        <v>20.0</v>
      </c>
      <c r="F57" s="26">
        <f t="shared" si="3"/>
        <v>1600</v>
      </c>
      <c r="G57" s="25">
        <f t="shared" si="4"/>
        <v>80</v>
      </c>
      <c r="H57" s="27">
        <v>1.0</v>
      </c>
      <c r="I57" s="28">
        <f t="shared" si="5"/>
        <v>160</v>
      </c>
      <c r="J57" s="29">
        <f t="shared" si="6"/>
        <v>13.33333333</v>
      </c>
    </row>
    <row r="58" ht="15.75" customHeight="1">
      <c r="A58" s="23" t="s">
        <v>64</v>
      </c>
      <c r="B58" s="24">
        <v>200.0</v>
      </c>
      <c r="C58" s="25">
        <f t="shared" si="1"/>
        <v>80</v>
      </c>
      <c r="D58" s="25">
        <f t="shared" si="2"/>
        <v>16000</v>
      </c>
      <c r="E58" s="23">
        <v>20.0</v>
      </c>
      <c r="F58" s="26">
        <f t="shared" si="3"/>
        <v>1600</v>
      </c>
      <c r="G58" s="25">
        <f t="shared" si="4"/>
        <v>80</v>
      </c>
      <c r="H58" s="27">
        <v>1.0</v>
      </c>
      <c r="I58" s="28">
        <f t="shared" si="5"/>
        <v>160</v>
      </c>
      <c r="J58" s="29">
        <f t="shared" si="6"/>
        <v>13.33333333</v>
      </c>
    </row>
    <row r="59" ht="15.75" customHeight="1">
      <c r="A59" s="23" t="s">
        <v>65</v>
      </c>
      <c r="B59" s="24">
        <v>200.0</v>
      </c>
      <c r="C59" s="25">
        <f t="shared" si="1"/>
        <v>80</v>
      </c>
      <c r="D59" s="25">
        <f t="shared" si="2"/>
        <v>16000</v>
      </c>
      <c r="E59" s="23">
        <v>20.0</v>
      </c>
      <c r="F59" s="26">
        <f t="shared" si="3"/>
        <v>1600</v>
      </c>
      <c r="G59" s="25">
        <f t="shared" si="4"/>
        <v>80</v>
      </c>
      <c r="H59" s="27">
        <v>1.0</v>
      </c>
      <c r="I59" s="28">
        <f t="shared" si="5"/>
        <v>160</v>
      </c>
      <c r="J59" s="29">
        <f t="shared" si="6"/>
        <v>13.33333333</v>
      </c>
    </row>
    <row r="60" ht="15.75" customHeight="1">
      <c r="B60" s="30">
        <f t="shared" ref="B60:F60" si="7">SUM(B48:B59)</f>
        <v>2400</v>
      </c>
      <c r="C60" s="30">
        <f t="shared" si="7"/>
        <v>960</v>
      </c>
      <c r="D60" s="30">
        <f t="shared" si="7"/>
        <v>192000</v>
      </c>
      <c r="E60" s="30">
        <f t="shared" si="7"/>
        <v>240</v>
      </c>
      <c r="F60" s="30">
        <f t="shared" si="7"/>
        <v>19200</v>
      </c>
      <c r="G60" s="31"/>
      <c r="H60" s="31"/>
      <c r="I60" s="31"/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2">
    <mergeCell ref="A1:C1"/>
    <mergeCell ref="A19:C19"/>
  </mergeCell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16.0"/>
    <col customWidth="1" min="3" max="3" width="4.0"/>
    <col customWidth="1" min="4" max="4" width="34.0"/>
    <col customWidth="1" min="5" max="5" width="18.0"/>
    <col customWidth="1" min="6" max="6" width="10.75"/>
    <col customWidth="1" min="7" max="7" width="34.25"/>
    <col customWidth="1" min="8" max="8" width="14.75"/>
    <col customWidth="1" min="9" max="9" width="3.5"/>
    <col customWidth="1" min="10" max="10" width="28.38"/>
    <col customWidth="1" min="11" max="11" width="20.5"/>
    <col customWidth="1" min="12" max="26" width="8.63"/>
  </cols>
  <sheetData>
    <row r="1" ht="24.0" customHeight="1">
      <c r="A1" s="32" t="s">
        <v>66</v>
      </c>
      <c r="G1" s="33" t="s">
        <v>67</v>
      </c>
    </row>
    <row r="2" ht="24.0" customHeight="1">
      <c r="A2" s="5"/>
      <c r="B2" s="5"/>
      <c r="C2" s="5"/>
      <c r="D2" s="5"/>
      <c r="E2" s="5"/>
      <c r="G2" s="5"/>
      <c r="H2" s="5"/>
      <c r="I2" s="5"/>
      <c r="J2" s="5"/>
      <c r="K2" s="5"/>
    </row>
    <row r="3" ht="24.0" customHeight="1">
      <c r="A3" s="34" t="s">
        <v>68</v>
      </c>
      <c r="C3" s="34"/>
      <c r="D3" s="34" t="s">
        <v>69</v>
      </c>
      <c r="G3" s="35" t="s">
        <v>68</v>
      </c>
      <c r="I3" s="35"/>
      <c r="J3" s="35" t="s">
        <v>69</v>
      </c>
    </row>
    <row r="4" ht="24.0" customHeight="1">
      <c r="A4" s="36" t="s">
        <v>70</v>
      </c>
      <c r="B4" s="37">
        <v>100.0</v>
      </c>
      <c r="C4" s="5"/>
      <c r="D4" s="36" t="s">
        <v>71</v>
      </c>
      <c r="E4" s="38">
        <f>Parametros!$B$5+(B4*Parametros!$B$6)</f>
        <v>3475</v>
      </c>
      <c r="G4" s="39" t="s">
        <v>70</v>
      </c>
      <c r="H4" s="40">
        <v>80.0</v>
      </c>
      <c r="I4" s="5"/>
      <c r="J4" s="39" t="s">
        <v>71</v>
      </c>
      <c r="K4" s="41">
        <f>Parametros!B23+(H4*Parametros!B24)</f>
        <v>1940</v>
      </c>
    </row>
    <row r="5" ht="24.0" customHeight="1">
      <c r="A5" s="36" t="s">
        <v>72</v>
      </c>
      <c r="B5" s="37">
        <v>2.0</v>
      </c>
      <c r="C5" s="5"/>
      <c r="D5" s="36" t="s">
        <v>73</v>
      </c>
      <c r="E5" s="42">
        <f>IF(OR(B5=3,UPPER(B6)="SIM"),Parametros!$B$8,IF(B5=2,Parametros!$B$7,0))</f>
        <v>0.05</v>
      </c>
      <c r="F5" s="20">
        <f>E6-E7</f>
        <v>364.875</v>
      </c>
      <c r="G5" s="43" t="s">
        <v>74</v>
      </c>
      <c r="H5" s="40">
        <v>1.0</v>
      </c>
      <c r="I5" s="5"/>
      <c r="J5" s="39" t="s">
        <v>73</v>
      </c>
      <c r="K5" s="44">
        <f>IF(OR(H5=3,UPPER(H6)="SIM"),Parametros!$B$8,IF(H5=2,Parametros!$B$7,0))</f>
        <v>0</v>
      </c>
    </row>
    <row r="6" ht="24.0" customHeight="1">
      <c r="A6" s="36" t="s">
        <v>75</v>
      </c>
      <c r="B6" s="45" t="s">
        <v>76</v>
      </c>
      <c r="C6" s="5"/>
      <c r="D6" s="36" t="s">
        <v>77</v>
      </c>
      <c r="E6" s="38">
        <f>E4*(1+E5)</f>
        <v>3648.75</v>
      </c>
      <c r="G6" s="39" t="s">
        <v>75</v>
      </c>
      <c r="H6" s="46" t="s">
        <v>76</v>
      </c>
      <c r="I6" s="5"/>
      <c r="J6" s="39" t="s">
        <v>77</v>
      </c>
      <c r="K6" s="41">
        <f>K4*(1+K5)</f>
        <v>1940</v>
      </c>
    </row>
    <row r="7" ht="24.0" customHeight="1">
      <c r="A7" s="36" t="s">
        <v>78</v>
      </c>
      <c r="B7" s="47">
        <v>0.1</v>
      </c>
      <c r="C7" s="5"/>
      <c r="D7" s="36" t="s">
        <v>79</v>
      </c>
      <c r="E7" s="38">
        <f>E6*(1-B7)</f>
        <v>3283.875</v>
      </c>
      <c r="G7" s="39" t="s">
        <v>78</v>
      </c>
      <c r="H7" s="48">
        <v>0.1</v>
      </c>
      <c r="I7" s="5"/>
      <c r="J7" s="39" t="s">
        <v>79</v>
      </c>
      <c r="K7" s="41">
        <f>K6*(1-H7)</f>
        <v>1746</v>
      </c>
    </row>
    <row r="8" ht="24.0" customHeight="1">
      <c r="A8" s="36" t="s">
        <v>80</v>
      </c>
      <c r="B8" s="49">
        <v>0.0</v>
      </c>
      <c r="C8" s="5"/>
      <c r="D8" s="36" t="s">
        <v>81</v>
      </c>
      <c r="E8" s="38">
        <f>IF(OR(B5=3,UPPER(B6)="SIM"),Parametros!$B$11,IF(B5=2,Parametros!$B$10,Parametros!$B$9))</f>
        <v>0</v>
      </c>
      <c r="G8" s="39" t="s">
        <v>80</v>
      </c>
      <c r="H8" s="50">
        <v>0.0</v>
      </c>
      <c r="I8" s="5"/>
      <c r="J8" s="39" t="s">
        <v>81</v>
      </c>
      <c r="K8" s="41">
        <f>IF(OR(H5=3,UPPER(H6)="SIM"),Parametros!$B$11,IF(H5=2,Parametros!$B$10,Parametros!$B$9))</f>
        <v>0</v>
      </c>
    </row>
    <row r="9" ht="24.0" customHeight="1">
      <c r="A9" s="5"/>
      <c r="B9" s="5"/>
      <c r="C9" s="5"/>
      <c r="D9" s="36" t="s">
        <v>82</v>
      </c>
      <c r="E9" s="38">
        <f>B8*Parametros!$B$12</f>
        <v>0</v>
      </c>
      <c r="G9" s="5"/>
      <c r="H9" s="5"/>
      <c r="I9" s="5"/>
      <c r="J9" s="39" t="s">
        <v>82</v>
      </c>
      <c r="K9" s="41">
        <f>H8*Parametros!$B$12</f>
        <v>0</v>
      </c>
    </row>
    <row r="10" ht="24.0" customHeight="1">
      <c r="A10" s="5"/>
      <c r="B10" s="5"/>
      <c r="C10" s="5"/>
      <c r="D10" s="36" t="s">
        <v>83</v>
      </c>
      <c r="E10" s="38">
        <f t="shared" ref="E10:E11" si="1">E6*12</f>
        <v>43785</v>
      </c>
      <c r="G10" s="5"/>
      <c r="H10" s="5"/>
      <c r="I10" s="5"/>
      <c r="J10" s="39" t="s">
        <v>83</v>
      </c>
      <c r="K10" s="41">
        <f t="shared" ref="K10:K11" si="2">K6*12</f>
        <v>23280</v>
      </c>
    </row>
    <row r="11" ht="24.0" customHeight="1">
      <c r="A11" s="5"/>
      <c r="B11" s="5"/>
      <c r="C11" s="5"/>
      <c r="D11" s="36" t="s">
        <v>84</v>
      </c>
      <c r="E11" s="38">
        <f t="shared" si="1"/>
        <v>39406.5</v>
      </c>
      <c r="G11" s="5"/>
      <c r="H11" s="5"/>
      <c r="I11" s="5"/>
      <c r="J11" s="39" t="s">
        <v>84</v>
      </c>
      <c r="K11" s="41">
        <f t="shared" si="2"/>
        <v>20952</v>
      </c>
    </row>
    <row r="12">
      <c r="A12" s="5"/>
      <c r="B12" s="5"/>
      <c r="C12" s="5"/>
      <c r="D12" s="36" t="s">
        <v>85</v>
      </c>
      <c r="E12" s="38">
        <f>E6*Parametros!$B$4</f>
        <v>175140</v>
      </c>
      <c r="G12" s="5"/>
      <c r="H12" s="5"/>
      <c r="I12" s="5"/>
      <c r="J12" s="39" t="s">
        <v>85</v>
      </c>
      <c r="K12" s="41">
        <f>K6*Parametros!B22</f>
        <v>93120</v>
      </c>
    </row>
    <row r="13">
      <c r="A13" s="5"/>
      <c r="B13" s="5"/>
      <c r="C13" s="5"/>
      <c r="D13" s="36" t="s">
        <v>86</v>
      </c>
      <c r="E13" s="38">
        <f>E7*Parametros!$B$4</f>
        <v>157626</v>
      </c>
      <c r="G13" s="5"/>
      <c r="H13" s="5"/>
      <c r="I13" s="5"/>
      <c r="J13" s="39" t="s">
        <v>86</v>
      </c>
      <c r="K13" s="41">
        <f>K7*Parametros!B22</f>
        <v>83808</v>
      </c>
    </row>
    <row r="14">
      <c r="A14" s="5"/>
      <c r="B14" s="5"/>
      <c r="C14" s="5"/>
      <c r="D14" s="36" t="s">
        <v>87</v>
      </c>
      <c r="E14" s="51" t="str">
        <f>IF(B4&lt;Parametros!$B$3,"Avaliar Parceria Essencial",IF(B7&gt;Parametros!$B$14,"Exceção estratégica / rever enquadramento",IF(B7&gt;Parametros!$B$13,"Desconto especial (justificar)","Parceria Padrão")))</f>
        <v>Desconto especial (justificar)</v>
      </c>
      <c r="G14" s="5"/>
      <c r="H14" s="5"/>
      <c r="I14" s="5"/>
      <c r="J14" s="39" t="s">
        <v>87</v>
      </c>
      <c r="K14" s="46" t="str">
        <f>IF(H4&lt;Parametros!B21,"Avaliar Estratégica/Recusa",IF(H7&gt;Parametros!B32,"Exceção estratégica / rever enquadramento",IF(H7&gt;Parametros!B31,"Desconto especial (justificar)","Parceria Essencial")))</f>
        <v>Exceção estratégica / rever enquadramento</v>
      </c>
    </row>
    <row r="15">
      <c r="A15" s="5"/>
      <c r="B15" s="5"/>
      <c r="C15" s="5"/>
      <c r="D15" s="36" t="s">
        <v>88</v>
      </c>
      <c r="E15" s="52">
        <f>E7/B4</f>
        <v>32.83875</v>
      </c>
      <c r="G15" s="5"/>
      <c r="H15" s="5"/>
      <c r="I15" s="5"/>
      <c r="J15" s="39" t="s">
        <v>88</v>
      </c>
      <c r="K15" s="53">
        <f>K7/H4</f>
        <v>21.825</v>
      </c>
    </row>
    <row r="16">
      <c r="A16" s="5"/>
      <c r="B16" s="5"/>
      <c r="C16" s="5"/>
      <c r="D16" s="54"/>
      <c r="E16" s="55">
        <f>E15*12</f>
        <v>394.065</v>
      </c>
      <c r="G16" s="5"/>
      <c r="H16" s="5"/>
      <c r="I16" s="5"/>
      <c r="J16" s="54"/>
      <c r="K16" s="55"/>
    </row>
    <row r="17" ht="24.0" customHeight="1">
      <c r="A17" s="56" t="s">
        <v>89</v>
      </c>
      <c r="G17" s="57" t="s">
        <v>89</v>
      </c>
    </row>
  </sheetData>
  <mergeCells count="8">
    <mergeCell ref="A1:E1"/>
    <mergeCell ref="G1:K1"/>
    <mergeCell ref="A3:B3"/>
    <mergeCell ref="D3:E3"/>
    <mergeCell ref="G3:H3"/>
    <mergeCell ref="J3:K3"/>
    <mergeCell ref="A17:E17"/>
    <mergeCell ref="G17:K17"/>
  </mergeCells>
  <dataValidations>
    <dataValidation type="list" allowBlank="1" sqref="H5">
      <formula1>"1,2"</formula1>
    </dataValidation>
    <dataValidation type="list" allowBlank="1" sqref="B6 H6">
      <formula1>"SIM,NÃO"</formula1>
    </dataValidation>
    <dataValidation type="list" allowBlank="1" sqref="B5">
      <formula1>"1,2,3"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34.0"/>
    <col customWidth="1" min="2" max="2" width="16.0"/>
    <col customWidth="1" min="3" max="3" width="4.0"/>
    <col customWidth="1" min="4" max="4" width="34.0"/>
    <col customWidth="1" min="5" max="5" width="18.0"/>
    <col customWidth="1" min="6" max="6" width="10.75"/>
    <col customWidth="1" min="7" max="7" width="34.25"/>
    <col customWidth="1" min="8" max="8" width="14.75"/>
    <col customWidth="1" min="9" max="9" width="3.5"/>
    <col customWidth="1" min="10" max="10" width="28.38"/>
    <col customWidth="1" min="11" max="11" width="20.5"/>
    <col customWidth="1" min="12" max="26" width="8.63"/>
  </cols>
  <sheetData>
    <row r="1" ht="24.0" customHeight="1">
      <c r="A1" s="32" t="s">
        <v>66</v>
      </c>
      <c r="G1" s="33" t="s">
        <v>67</v>
      </c>
    </row>
    <row r="2" ht="24.0" customHeight="1">
      <c r="A2" s="5"/>
      <c r="B2" s="5"/>
      <c r="C2" s="5"/>
      <c r="D2" s="5"/>
      <c r="E2" s="5"/>
      <c r="G2" s="5"/>
      <c r="H2" s="5"/>
      <c r="I2" s="5"/>
      <c r="J2" s="5"/>
      <c r="K2" s="5"/>
    </row>
    <row r="3" ht="24.0" customHeight="1">
      <c r="A3" s="34" t="s">
        <v>68</v>
      </c>
      <c r="C3" s="34"/>
      <c r="D3" s="34" t="s">
        <v>69</v>
      </c>
      <c r="G3" s="35" t="s">
        <v>68</v>
      </c>
      <c r="I3" s="35"/>
      <c r="J3" s="35" t="s">
        <v>69</v>
      </c>
    </row>
    <row r="4" ht="24.0" customHeight="1">
      <c r="A4" s="36" t="s">
        <v>70</v>
      </c>
      <c r="B4" s="37">
        <v>80.0</v>
      </c>
      <c r="C4" s="5"/>
      <c r="D4" s="36" t="s">
        <v>71</v>
      </c>
      <c r="E4" s="38">
        <f>parametros_livro!B5+(B4*parametros_livro!B6)</f>
        <v>3520</v>
      </c>
      <c r="G4" s="39" t="s">
        <v>70</v>
      </c>
      <c r="H4" s="40">
        <v>80.0</v>
      </c>
      <c r="I4" s="5"/>
      <c r="J4" s="39" t="s">
        <v>71</v>
      </c>
      <c r="K4" s="41">
        <f>Parametros!B23+(H4*parametros_livro!B24)</f>
        <v>2520</v>
      </c>
    </row>
    <row r="5" ht="24.0" customHeight="1">
      <c r="A5" s="36" t="s">
        <v>72</v>
      </c>
      <c r="B5" s="37">
        <v>3.0</v>
      </c>
      <c r="C5" s="5"/>
      <c r="D5" s="36" t="s">
        <v>73</v>
      </c>
      <c r="E5" s="42">
        <f>IF(OR(B5=3,UPPER(B6)="SIM"),Parametros!$B$8,IF(B5=2,Parametros!$B$7,0))</f>
        <v>0.1</v>
      </c>
      <c r="F5" s="20">
        <f>E6-E7</f>
        <v>0</v>
      </c>
      <c r="G5" s="43" t="s">
        <v>74</v>
      </c>
      <c r="H5" s="40">
        <v>2.0</v>
      </c>
      <c r="I5" s="5"/>
      <c r="J5" s="39" t="s">
        <v>73</v>
      </c>
      <c r="K5" s="44">
        <f>IF(OR(H5=3,UPPER(H6)="SIM"),Parametros!$B$8,IF(H5=2,Parametros!$B$7,0))</f>
        <v>0.05</v>
      </c>
    </row>
    <row r="6" ht="24.0" customHeight="1">
      <c r="A6" s="36" t="s">
        <v>75</v>
      </c>
      <c r="B6" s="45" t="s">
        <v>90</v>
      </c>
      <c r="C6" s="5"/>
      <c r="D6" s="36" t="s">
        <v>77</v>
      </c>
      <c r="E6" s="38">
        <f>E4*(1+E5)</f>
        <v>3872</v>
      </c>
      <c r="G6" s="39" t="s">
        <v>75</v>
      </c>
      <c r="H6" s="46" t="s">
        <v>76</v>
      </c>
      <c r="I6" s="5"/>
      <c r="J6" s="39" t="s">
        <v>77</v>
      </c>
      <c r="K6" s="41">
        <f>K4*(1+K5)</f>
        <v>2646</v>
      </c>
    </row>
    <row r="7" ht="24.0" customHeight="1">
      <c r="A7" s="36" t="s">
        <v>78</v>
      </c>
      <c r="B7" s="47">
        <v>0.0</v>
      </c>
      <c r="C7" s="5"/>
      <c r="D7" s="36" t="s">
        <v>79</v>
      </c>
      <c r="E7" s="38">
        <f>E6*(1-B7)</f>
        <v>3872</v>
      </c>
      <c r="G7" s="39" t="s">
        <v>78</v>
      </c>
      <c r="H7" s="48">
        <v>0.0</v>
      </c>
      <c r="I7" s="5"/>
      <c r="J7" s="39" t="s">
        <v>79</v>
      </c>
      <c r="K7" s="41">
        <f>K6*(1-H7)</f>
        <v>2646</v>
      </c>
    </row>
    <row r="8" ht="24.0" customHeight="1">
      <c r="A8" s="36" t="s">
        <v>80</v>
      </c>
      <c r="B8" s="49">
        <v>0.0</v>
      </c>
      <c r="C8" s="5"/>
      <c r="D8" s="36" t="s">
        <v>81</v>
      </c>
      <c r="E8" s="38">
        <f>IF(OR(B5=3,UPPER(B6)="SIM"),Parametros!$B$11,IF(B5=2,Parametros!$B$10,Parametros!$B$9))</f>
        <v>0</v>
      </c>
      <c r="G8" s="39" t="s">
        <v>80</v>
      </c>
      <c r="H8" s="50">
        <v>0.0</v>
      </c>
      <c r="I8" s="5"/>
      <c r="J8" s="39" t="s">
        <v>81</v>
      </c>
      <c r="K8" s="41">
        <f>IF(OR(H5=3,UPPER(H6)="SIM"),Parametros!$B$11,IF(H5=2,Parametros!$B$10,Parametros!$B$9))</f>
        <v>0</v>
      </c>
      <c r="M8" s="26">
        <f>80*80</f>
        <v>6400</v>
      </c>
    </row>
    <row r="9" ht="24.0" customHeight="1">
      <c r="A9" s="5"/>
      <c r="B9" s="5"/>
      <c r="C9" s="5"/>
      <c r="D9" s="36" t="s">
        <v>82</v>
      </c>
      <c r="E9" s="38">
        <f>B8*Parametros!$B$12</f>
        <v>0</v>
      </c>
      <c r="G9" s="5"/>
      <c r="H9" s="5"/>
      <c r="I9" s="5"/>
      <c r="J9" s="39" t="s">
        <v>82</v>
      </c>
      <c r="K9" s="41">
        <f>H8*Parametros!$B$12</f>
        <v>0</v>
      </c>
      <c r="M9" s="26">
        <f>(80*16.5)*12</f>
        <v>15840</v>
      </c>
    </row>
    <row r="10" ht="24.0" customHeight="1">
      <c r="A10" s="5"/>
      <c r="B10" s="5"/>
      <c r="C10" s="5"/>
      <c r="D10" s="36" t="s">
        <v>83</v>
      </c>
      <c r="E10" s="38">
        <f t="shared" ref="E10:E11" si="1">E6*12</f>
        <v>46464</v>
      </c>
      <c r="G10" s="5">
        <f>(270*16.5)*12</f>
        <v>53460</v>
      </c>
      <c r="H10" s="5"/>
      <c r="I10" s="5"/>
      <c r="J10" s="39" t="s">
        <v>83</v>
      </c>
      <c r="K10" s="41">
        <f t="shared" ref="K10:K11" si="2">K6*12</f>
        <v>31752</v>
      </c>
      <c r="M10" s="26">
        <f>M9-M8</f>
        <v>9440</v>
      </c>
      <c r="P10" s="23" t="s">
        <v>91</v>
      </c>
    </row>
    <row r="11" ht="24.0" customHeight="1">
      <c r="A11" s="5"/>
      <c r="B11" s="5"/>
      <c r="C11" s="5"/>
      <c r="D11" s="36" t="s">
        <v>84</v>
      </c>
      <c r="E11" s="38">
        <f t="shared" si="1"/>
        <v>46464</v>
      </c>
      <c r="G11" s="5">
        <f>270*80</f>
        <v>21600</v>
      </c>
      <c r="H11" s="5"/>
      <c r="I11" s="5"/>
      <c r="J11" s="39" t="s">
        <v>84</v>
      </c>
      <c r="K11" s="41">
        <f t="shared" si="2"/>
        <v>31752</v>
      </c>
    </row>
    <row r="12">
      <c r="A12" s="5"/>
      <c r="B12" s="5"/>
      <c r="C12" s="5"/>
      <c r="D12" s="36" t="s">
        <v>85</v>
      </c>
      <c r="E12" s="38">
        <f>E6*Parametros!$B$4</f>
        <v>185856</v>
      </c>
      <c r="G12" s="58">
        <f>G10-G11</f>
        <v>31860</v>
      </c>
      <c r="H12" s="5"/>
      <c r="I12" s="5"/>
      <c r="J12" s="39" t="s">
        <v>85</v>
      </c>
      <c r="K12" s="41">
        <f>K6*Parametros!B22</f>
        <v>127008</v>
      </c>
      <c r="M12" s="26">
        <f>1400*12</f>
        <v>16800</v>
      </c>
    </row>
    <row r="13">
      <c r="A13" s="5"/>
      <c r="B13" s="5"/>
      <c r="C13" s="5"/>
      <c r="D13" s="36" t="s">
        <v>86</v>
      </c>
      <c r="E13" s="38">
        <f>E7*Parametros!$B$4</f>
        <v>185856</v>
      </c>
      <c r="G13" s="5"/>
      <c r="H13" s="5"/>
      <c r="I13" s="5"/>
      <c r="J13" s="39" t="s">
        <v>86</v>
      </c>
      <c r="K13" s="41">
        <f>K7*Parametros!B22</f>
        <v>127008</v>
      </c>
      <c r="M13" s="26">
        <f>M12+M10</f>
        <v>26240</v>
      </c>
    </row>
    <row r="14">
      <c r="A14" s="5"/>
      <c r="B14" s="5"/>
      <c r="C14" s="5"/>
      <c r="D14" s="36" t="s">
        <v>87</v>
      </c>
      <c r="E14" s="51" t="str">
        <f>IF(B4&lt;Parametros!$B$3,"Avaliar Parceria Essencial",IF(B7&gt;Parametros!$B$14,"Exceção estratégica / rever enquadramento",IF(B7&gt;Parametros!$B$13,"Desconto especial (justificar)","Parceria Padrão")))</f>
        <v>Avaliar Parceria Essencial</v>
      </c>
      <c r="G14" s="5"/>
      <c r="H14" s="5"/>
      <c r="I14" s="5"/>
      <c r="J14" s="39" t="s">
        <v>87</v>
      </c>
      <c r="K14" s="46" t="str">
        <f>IF(H4&lt;Parametros!B21,"Avaliar Estratégica/Recusa",IF(H7&gt;Parametros!B32,"Exceção estratégica / rever enquadramento",IF(H7&gt;Parametros!B31,"Desconto especial (justificar)","Parceria Essencial")))</f>
        <v>Parceria Essencial</v>
      </c>
      <c r="M14" s="26">
        <f>M9+M12</f>
        <v>32640</v>
      </c>
      <c r="N14" s="26">
        <f>M14-10000</f>
        <v>22640</v>
      </c>
    </row>
    <row r="15">
      <c r="A15" s="5"/>
      <c r="B15" s="5"/>
      <c r="C15" s="5"/>
      <c r="D15" s="36" t="s">
        <v>88</v>
      </c>
      <c r="E15" s="52">
        <f>E7/B4</f>
        <v>48.4</v>
      </c>
      <c r="G15" s="5"/>
      <c r="H15" s="5"/>
      <c r="I15" s="5"/>
      <c r="J15" s="39" t="s">
        <v>88</v>
      </c>
      <c r="K15" s="53">
        <f>K7/H4</f>
        <v>33.075</v>
      </c>
      <c r="M15" s="26">
        <f t="shared" ref="M15:N15" si="3">M14/80</f>
        <v>408</v>
      </c>
      <c r="N15" s="26">
        <f t="shared" si="3"/>
        <v>283</v>
      </c>
    </row>
    <row r="16">
      <c r="A16" s="5"/>
      <c r="B16" s="5"/>
      <c r="C16" s="5"/>
      <c r="D16" s="54"/>
      <c r="E16" s="55">
        <f>E15*12</f>
        <v>580.8</v>
      </c>
      <c r="G16" s="5"/>
      <c r="H16" s="5"/>
      <c r="I16" s="5"/>
      <c r="J16" s="54"/>
      <c r="K16" s="55"/>
      <c r="M16" s="59">
        <f t="shared" ref="M16:N16" si="4">M15/12</f>
        <v>34</v>
      </c>
      <c r="N16" s="59">
        <f t="shared" si="4"/>
        <v>23.58333333</v>
      </c>
      <c r="O16" s="26">
        <f>N16*80</f>
        <v>1886.666667</v>
      </c>
    </row>
    <row r="17" ht="24.0" customHeight="1">
      <c r="A17" s="56" t="s">
        <v>89</v>
      </c>
      <c r="G17" s="57" t="s">
        <v>89</v>
      </c>
    </row>
  </sheetData>
  <mergeCells count="8">
    <mergeCell ref="A1:E1"/>
    <mergeCell ref="G1:K1"/>
    <mergeCell ref="A3:B3"/>
    <mergeCell ref="D3:E3"/>
    <mergeCell ref="G3:H3"/>
    <mergeCell ref="J3:K3"/>
    <mergeCell ref="A17:E17"/>
    <mergeCell ref="G17:K17"/>
  </mergeCells>
  <dataValidations>
    <dataValidation type="list" allowBlank="1" sqref="H5">
      <formula1>"1,2"</formula1>
    </dataValidation>
    <dataValidation type="list" allowBlank="1" sqref="B6 H6">
      <formula1>"SIM,NÃO"</formula1>
    </dataValidation>
    <dataValidation type="list" allowBlank="1" sqref="B5">
      <formula1>"1,2,3"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4" width="22.0"/>
    <col customWidth="1" min="5" max="5" width="8.63"/>
    <col customWidth="1" min="6" max="9" width="22.0"/>
    <col customWidth="1" min="10" max="26" width="8.63"/>
  </cols>
  <sheetData>
    <row r="1">
      <c r="A1" s="32" t="s">
        <v>92</v>
      </c>
      <c r="E1" s="5"/>
      <c r="F1" s="32" t="s">
        <v>93</v>
      </c>
    </row>
    <row r="2">
      <c r="A2" s="5"/>
      <c r="B2" s="5"/>
      <c r="C2" s="5"/>
      <c r="D2" s="5"/>
      <c r="E2" s="5"/>
      <c r="F2" s="5"/>
      <c r="G2" s="5"/>
      <c r="H2" s="5"/>
      <c r="I2" s="5"/>
    </row>
    <row r="3">
      <c r="A3" s="60" t="s">
        <v>94</v>
      </c>
      <c r="B3" s="60" t="s">
        <v>95</v>
      </c>
      <c r="C3" s="60" t="s">
        <v>96</v>
      </c>
      <c r="D3" s="60" t="s">
        <v>97</v>
      </c>
      <c r="E3" s="5"/>
      <c r="F3" s="60" t="s">
        <v>94</v>
      </c>
      <c r="G3" s="60" t="s">
        <v>95</v>
      </c>
      <c r="H3" s="60" t="s">
        <v>96</v>
      </c>
      <c r="I3" s="60" t="s">
        <v>97</v>
      </c>
    </row>
    <row r="4">
      <c r="A4" s="5">
        <v>100.0</v>
      </c>
      <c r="B4" s="6">
        <f>Parametros!$B$5+(A4*Parametros!$B$6)</f>
        <v>3475</v>
      </c>
      <c r="C4" s="6">
        <f>B4*(1+Parametros!$B$7)</f>
        <v>3648.75</v>
      </c>
      <c r="D4" s="6">
        <f>B4*(1+Parametros!$B$8)</f>
        <v>3822.5</v>
      </c>
      <c r="E4" s="5"/>
      <c r="F4" s="5">
        <v>100.0</v>
      </c>
      <c r="G4" s="6">
        <f t="shared" ref="G4:I4" si="1">B4*12</f>
        <v>41700</v>
      </c>
      <c r="H4" s="6">
        <f t="shared" si="1"/>
        <v>43785</v>
      </c>
      <c r="I4" s="6">
        <f t="shared" si="1"/>
        <v>45870</v>
      </c>
    </row>
    <row r="5">
      <c r="A5" s="5">
        <v>120.0</v>
      </c>
      <c r="B5" s="6">
        <f>Parametros!$B$5+(A5*Parametros!$B$6)</f>
        <v>3730</v>
      </c>
      <c r="C5" s="6">
        <f>B5*(1+Parametros!$B$7)</f>
        <v>3916.5</v>
      </c>
      <c r="D5" s="6">
        <f>B5*(1+Parametros!$B$8)</f>
        <v>4103</v>
      </c>
      <c r="E5" s="5"/>
      <c r="F5" s="5">
        <v>120.0</v>
      </c>
      <c r="G5" s="6">
        <f t="shared" ref="G5:I5" si="2">B5*12</f>
        <v>44760</v>
      </c>
      <c r="H5" s="6">
        <f t="shared" si="2"/>
        <v>46998</v>
      </c>
      <c r="I5" s="6">
        <f t="shared" si="2"/>
        <v>49236</v>
      </c>
    </row>
    <row r="6">
      <c r="A6" s="5">
        <v>150.0</v>
      </c>
      <c r="B6" s="6">
        <f>Parametros!$B$5+(A6*Parametros!$B$6)</f>
        <v>4112.5</v>
      </c>
      <c r="C6" s="6">
        <f>B6*(1+Parametros!$B$7)</f>
        <v>4318.125</v>
      </c>
      <c r="D6" s="6">
        <f>B6*(1+Parametros!$B$8)</f>
        <v>4523.75</v>
      </c>
      <c r="E6" s="5"/>
      <c r="F6" s="5">
        <v>150.0</v>
      </c>
      <c r="G6" s="6">
        <f t="shared" ref="G6:I6" si="3">B6*12</f>
        <v>49350</v>
      </c>
      <c r="H6" s="6">
        <f t="shared" si="3"/>
        <v>51817.5</v>
      </c>
      <c r="I6" s="6">
        <f t="shared" si="3"/>
        <v>54285</v>
      </c>
    </row>
    <row r="7">
      <c r="A7" s="5">
        <v>180.0</v>
      </c>
      <c r="B7" s="6">
        <f>Parametros!$B$5+(A7*Parametros!$B$6)</f>
        <v>4495</v>
      </c>
      <c r="C7" s="6">
        <f>B7*(1+Parametros!$B$7)</f>
        <v>4719.75</v>
      </c>
      <c r="D7" s="6">
        <f>B7*(1+Parametros!$B$8)</f>
        <v>4944.5</v>
      </c>
      <c r="E7" s="5"/>
      <c r="F7" s="5">
        <v>180.0</v>
      </c>
      <c r="G7" s="6">
        <f t="shared" ref="G7:I7" si="4">B7*12</f>
        <v>53940</v>
      </c>
      <c r="H7" s="6">
        <f t="shared" si="4"/>
        <v>56637</v>
      </c>
      <c r="I7" s="6">
        <f t="shared" si="4"/>
        <v>59334</v>
      </c>
    </row>
    <row r="8">
      <c r="A8" s="5">
        <v>200.0</v>
      </c>
      <c r="B8" s="6">
        <f>Parametros!$B$5+(A8*Parametros!$B$6)</f>
        <v>4750</v>
      </c>
      <c r="C8" s="6">
        <f>B8*(1+Parametros!$B$7)</f>
        <v>4987.5</v>
      </c>
      <c r="D8" s="6">
        <f>B8*(1+Parametros!$B$8)</f>
        <v>5225</v>
      </c>
      <c r="E8" s="5"/>
      <c r="F8" s="5">
        <v>200.0</v>
      </c>
      <c r="G8" s="6">
        <f t="shared" ref="G8:I8" si="5">B8*12</f>
        <v>57000</v>
      </c>
      <c r="H8" s="6">
        <f t="shared" si="5"/>
        <v>59850</v>
      </c>
      <c r="I8" s="6">
        <f t="shared" si="5"/>
        <v>62700</v>
      </c>
    </row>
    <row r="9">
      <c r="A9" s="5">
        <v>250.0</v>
      </c>
      <c r="B9" s="6">
        <f>Parametros!$B$5+(A9*Parametros!$B$6)</f>
        <v>5387.5</v>
      </c>
      <c r="C9" s="6">
        <f>B9*(1+Parametros!$B$7)</f>
        <v>5656.875</v>
      </c>
      <c r="D9" s="6">
        <f>B9*(1+Parametros!$B$8)</f>
        <v>5926.25</v>
      </c>
      <c r="E9" s="5"/>
      <c r="F9" s="5">
        <v>250.0</v>
      </c>
      <c r="G9" s="6">
        <f t="shared" ref="G9:I9" si="6">B9*12</f>
        <v>64650</v>
      </c>
      <c r="H9" s="6">
        <f t="shared" si="6"/>
        <v>67882.5</v>
      </c>
      <c r="I9" s="6">
        <f t="shared" si="6"/>
        <v>71115</v>
      </c>
    </row>
    <row r="10">
      <c r="A10" s="5">
        <v>300.0</v>
      </c>
      <c r="B10" s="6">
        <f>Parametros!$B$5+(A10*Parametros!$B$6)</f>
        <v>6025</v>
      </c>
      <c r="C10" s="6">
        <f>B10*(1+Parametros!$B$7)</f>
        <v>6326.25</v>
      </c>
      <c r="D10" s="6">
        <f>B10*(1+Parametros!$B$8)</f>
        <v>6627.5</v>
      </c>
      <c r="E10" s="5"/>
      <c r="F10" s="5">
        <v>300.0</v>
      </c>
      <c r="G10" s="6">
        <f t="shared" ref="G10:I10" si="7">B10*12</f>
        <v>72300</v>
      </c>
      <c r="H10" s="6">
        <f t="shared" si="7"/>
        <v>75915</v>
      </c>
      <c r="I10" s="6">
        <f t="shared" si="7"/>
        <v>79530</v>
      </c>
    </row>
    <row r="11">
      <c r="A11" s="5">
        <v>350.0</v>
      </c>
      <c r="B11" s="6">
        <f>Parametros!$B$5+(A11*Parametros!$B$6)</f>
        <v>6662.5</v>
      </c>
      <c r="C11" s="6">
        <f>B11*(1+Parametros!$B$7)</f>
        <v>6995.625</v>
      </c>
      <c r="D11" s="6">
        <f>B11*(1+Parametros!$B$8)</f>
        <v>7328.75</v>
      </c>
      <c r="E11" s="5"/>
      <c r="F11" s="5">
        <v>350.0</v>
      </c>
      <c r="G11" s="6">
        <f t="shared" ref="G11:I11" si="8">B11*12</f>
        <v>79950</v>
      </c>
      <c r="H11" s="6">
        <f t="shared" si="8"/>
        <v>83947.5</v>
      </c>
      <c r="I11" s="6">
        <f t="shared" si="8"/>
        <v>87945</v>
      </c>
    </row>
    <row r="12">
      <c r="A12" s="5">
        <v>400.0</v>
      </c>
      <c r="B12" s="6">
        <f>Parametros!$B$5+(A12*Parametros!$B$6)</f>
        <v>7300</v>
      </c>
      <c r="C12" s="6">
        <f>B12*(1+Parametros!$B$7)</f>
        <v>7665</v>
      </c>
      <c r="D12" s="6">
        <f>B12*(1+Parametros!$B$8)</f>
        <v>8030</v>
      </c>
      <c r="E12" s="5"/>
      <c r="F12" s="5">
        <v>400.0</v>
      </c>
      <c r="G12" s="6">
        <f t="shared" ref="G12:I12" si="9">B12*12</f>
        <v>87600</v>
      </c>
      <c r="H12" s="6">
        <f t="shared" si="9"/>
        <v>91980</v>
      </c>
      <c r="I12" s="6">
        <f t="shared" si="9"/>
        <v>96360</v>
      </c>
    </row>
    <row r="13">
      <c r="A13" s="5"/>
      <c r="B13" s="5"/>
      <c r="C13" s="5"/>
      <c r="D13" s="5"/>
      <c r="E13" s="5"/>
      <c r="F13" s="5"/>
      <c r="G13" s="5"/>
      <c r="H13" s="5"/>
      <c r="I13" s="5"/>
    </row>
    <row r="14">
      <c r="A14" s="5"/>
      <c r="B14" s="5"/>
      <c r="C14" s="5"/>
      <c r="D14" s="5"/>
      <c r="E14" s="5"/>
      <c r="F14" s="5"/>
      <c r="G14" s="5"/>
      <c r="H14" s="5"/>
      <c r="I14" s="5"/>
    </row>
    <row r="15">
      <c r="A15" s="34" t="s">
        <v>98</v>
      </c>
      <c r="E15" s="5"/>
      <c r="F15" s="5"/>
      <c r="G15" s="5"/>
      <c r="H15" s="5"/>
      <c r="I15" s="5"/>
    </row>
    <row r="16">
      <c r="A16" s="3" t="s">
        <v>95</v>
      </c>
      <c r="B16" s="6">
        <f>Parametros!$B$9</f>
        <v>0</v>
      </c>
      <c r="C16" s="3" t="s">
        <v>99</v>
      </c>
      <c r="D16" s="5"/>
      <c r="E16" s="5"/>
      <c r="F16" s="5"/>
      <c r="G16" s="5"/>
      <c r="H16" s="5"/>
      <c r="I16" s="5"/>
    </row>
    <row r="17">
      <c r="A17" s="3" t="s">
        <v>100</v>
      </c>
      <c r="B17" s="6">
        <f>Parametros!$B$10</f>
        <v>0</v>
      </c>
      <c r="C17" s="3" t="s">
        <v>99</v>
      </c>
      <c r="D17" s="5"/>
      <c r="E17" s="5"/>
      <c r="F17" s="5"/>
      <c r="G17" s="5"/>
      <c r="H17" s="5"/>
      <c r="I17" s="5"/>
    </row>
    <row r="18">
      <c r="A18" s="3" t="s">
        <v>101</v>
      </c>
      <c r="B18" s="6">
        <f>Parametros!$B$11</f>
        <v>0</v>
      </c>
      <c r="C18" s="3" t="s">
        <v>99</v>
      </c>
      <c r="D18" s="5"/>
      <c r="E18" s="5"/>
      <c r="F18" s="5"/>
      <c r="G18" s="5"/>
      <c r="H18" s="5"/>
      <c r="I18" s="5"/>
    </row>
    <row r="19">
      <c r="A19" s="3" t="s">
        <v>19</v>
      </c>
      <c r="B19" s="6">
        <f>Parametros!$B$12</f>
        <v>0</v>
      </c>
      <c r="C19" s="3" t="s">
        <v>102</v>
      </c>
      <c r="D19" s="5" t="s">
        <v>103</v>
      </c>
      <c r="E19" s="5"/>
      <c r="F19" s="5"/>
      <c r="G19" s="5"/>
      <c r="H19" s="5"/>
      <c r="I19" s="5"/>
    </row>
    <row r="21" ht="15.75" customHeight="1"/>
    <row r="22" ht="15.75" customHeight="1">
      <c r="A22" s="33" t="s">
        <v>104</v>
      </c>
      <c r="E22" s="5"/>
      <c r="F22" s="61" t="s">
        <v>93</v>
      </c>
    </row>
    <row r="23" ht="15.75" customHeight="1">
      <c r="A23" s="5"/>
      <c r="B23" s="5"/>
      <c r="C23" s="5"/>
      <c r="D23" s="5"/>
      <c r="E23" s="5"/>
      <c r="F23" s="5"/>
      <c r="G23" s="5"/>
      <c r="H23" s="5"/>
      <c r="I23" s="5"/>
    </row>
    <row r="24" ht="15.75" customHeight="1">
      <c r="A24" s="62" t="s">
        <v>94</v>
      </c>
      <c r="B24" s="62" t="s">
        <v>95</v>
      </c>
      <c r="C24" s="63" t="s">
        <v>105</v>
      </c>
      <c r="D24" s="62" t="s">
        <v>97</v>
      </c>
      <c r="E24" s="5"/>
      <c r="F24" s="62" t="s">
        <v>94</v>
      </c>
      <c r="G24" s="62" t="s">
        <v>95</v>
      </c>
      <c r="H24" s="63" t="s">
        <v>105</v>
      </c>
      <c r="I24" s="62" t="s">
        <v>97</v>
      </c>
    </row>
    <row r="25" ht="15.75" customHeight="1">
      <c r="A25" s="10">
        <v>40.0</v>
      </c>
      <c r="B25" s="7">
        <v>1500.0</v>
      </c>
      <c r="C25" s="6">
        <f>B25*(1+Parametros!$B$7)</f>
        <v>1575</v>
      </c>
      <c r="D25" s="6">
        <f>B25*(1+Parametros!B26)</f>
        <v>1620</v>
      </c>
      <c r="E25" s="5"/>
      <c r="F25" s="10">
        <v>40.0</v>
      </c>
      <c r="G25" s="6">
        <f t="shared" ref="G25:I25" si="10">B25*12</f>
        <v>18000</v>
      </c>
      <c r="H25" s="6">
        <f t="shared" si="10"/>
        <v>18900</v>
      </c>
      <c r="I25" s="6">
        <f t="shared" si="10"/>
        <v>19440</v>
      </c>
    </row>
    <row r="26" ht="15.75" customHeight="1">
      <c r="A26" s="10">
        <v>50.0</v>
      </c>
      <c r="B26" s="6">
        <f>Parametros!B23+(A26*Parametros!B24)</f>
        <v>1662.5</v>
      </c>
      <c r="C26" s="6">
        <f>B26*(1+Parametros!$B$7)</f>
        <v>1745.625</v>
      </c>
      <c r="D26" s="6">
        <f>B26*(1+Parametros!B26)</f>
        <v>1795.5</v>
      </c>
      <c r="E26" s="5"/>
      <c r="F26" s="10">
        <v>50.0</v>
      </c>
      <c r="G26" s="6">
        <f t="shared" ref="G26:I26" si="11">B26*12</f>
        <v>19950</v>
      </c>
      <c r="H26" s="6">
        <f t="shared" si="11"/>
        <v>20947.5</v>
      </c>
      <c r="I26" s="6">
        <f t="shared" si="11"/>
        <v>21546</v>
      </c>
    </row>
    <row r="27" ht="15.75" customHeight="1">
      <c r="A27" s="10">
        <v>60.0</v>
      </c>
      <c r="B27" s="6">
        <f>Parametros!B23+(A27*Parametros!B24)</f>
        <v>1755</v>
      </c>
      <c r="C27" s="6">
        <f>B27*(1+Parametros!$B$7)</f>
        <v>1842.75</v>
      </c>
      <c r="D27" s="6">
        <f>B27*(1+Parametros!$B$26)</f>
        <v>1895.4</v>
      </c>
      <c r="E27" s="5"/>
      <c r="F27" s="10">
        <v>60.0</v>
      </c>
      <c r="G27" s="6">
        <f t="shared" ref="G27:I27" si="12">B27*12</f>
        <v>21060</v>
      </c>
      <c r="H27" s="6">
        <f t="shared" si="12"/>
        <v>22113</v>
      </c>
      <c r="I27" s="6">
        <f t="shared" si="12"/>
        <v>22744.8</v>
      </c>
    </row>
    <row r="28" ht="15.75" customHeight="1">
      <c r="A28" s="10">
        <v>70.0</v>
      </c>
      <c r="B28" s="6">
        <f>Parametros!B23+(A28*Parametros!B24)</f>
        <v>1847.5</v>
      </c>
      <c r="C28" s="6">
        <f>B28*(1+Parametros!$B$7)</f>
        <v>1939.875</v>
      </c>
      <c r="D28" s="6">
        <f>B28*(1+Parametros!$B$26)</f>
        <v>1995.3</v>
      </c>
      <c r="E28" s="5"/>
      <c r="F28" s="10">
        <v>70.0</v>
      </c>
      <c r="G28" s="6">
        <f t="shared" ref="G28:I28" si="13">B28*12</f>
        <v>22170</v>
      </c>
      <c r="H28" s="6">
        <f t="shared" si="13"/>
        <v>23278.5</v>
      </c>
      <c r="I28" s="6">
        <f t="shared" si="13"/>
        <v>23943.6</v>
      </c>
    </row>
    <row r="29" ht="15.75" customHeight="1">
      <c r="A29" s="10">
        <v>80.0</v>
      </c>
      <c r="B29" s="6">
        <f>Parametros!B23+(A29*Parametros!B24)</f>
        <v>1940</v>
      </c>
      <c r="C29" s="6">
        <f>B29*(1+Parametros!$B$7)</f>
        <v>2037</v>
      </c>
      <c r="D29" s="6">
        <f>B29*(1+Parametros!$B$26)</f>
        <v>2095.2</v>
      </c>
      <c r="E29" s="5"/>
      <c r="F29" s="10">
        <v>80.0</v>
      </c>
      <c r="G29" s="6">
        <f t="shared" ref="G29:I29" si="14">B29*12</f>
        <v>23280</v>
      </c>
      <c r="H29" s="6">
        <f t="shared" si="14"/>
        <v>24444</v>
      </c>
      <c r="I29" s="6">
        <f t="shared" si="14"/>
        <v>25142.4</v>
      </c>
    </row>
    <row r="30" ht="15.75" customHeight="1">
      <c r="A30" s="10">
        <v>90.0</v>
      </c>
      <c r="B30" s="6">
        <f>Parametros!B23+(A30*Parametros!B24)</f>
        <v>2032.5</v>
      </c>
      <c r="C30" s="6">
        <f>B30*(1+Parametros!$B$7)</f>
        <v>2134.125</v>
      </c>
      <c r="D30" s="6">
        <f>B30*(1+Parametros!$B$26)</f>
        <v>2195.1</v>
      </c>
      <c r="E30" s="5"/>
      <c r="F30" s="10">
        <v>90.0</v>
      </c>
      <c r="G30" s="6">
        <f t="shared" ref="G30:I30" si="15">B30*12</f>
        <v>24390</v>
      </c>
      <c r="H30" s="6">
        <f t="shared" si="15"/>
        <v>25609.5</v>
      </c>
      <c r="I30" s="6">
        <f t="shared" si="15"/>
        <v>26341.2</v>
      </c>
    </row>
    <row r="31" ht="15.75" customHeight="1">
      <c r="A31" s="10">
        <v>99.0</v>
      </c>
      <c r="B31" s="6">
        <f>Parametros!B23+(A31*Parametros!B24)</f>
        <v>2115.75</v>
      </c>
      <c r="C31" s="6">
        <f>B31*(1+Parametros!$B$7)</f>
        <v>2221.5375</v>
      </c>
      <c r="D31" s="6">
        <f>B31*(1+Parametros!$B$26)</f>
        <v>2285.01</v>
      </c>
      <c r="E31" s="5"/>
      <c r="F31" s="10">
        <v>99.0</v>
      </c>
      <c r="G31" s="6">
        <f t="shared" ref="G31:I31" si="16">B31*12</f>
        <v>25389</v>
      </c>
      <c r="H31" s="6">
        <f t="shared" si="16"/>
        <v>26658.45</v>
      </c>
      <c r="I31" s="6">
        <f t="shared" si="16"/>
        <v>27420.12</v>
      </c>
    </row>
    <row r="32" ht="15.75" customHeight="1">
      <c r="A32" s="5"/>
      <c r="B32" s="5"/>
      <c r="C32" s="5"/>
      <c r="D32" s="5"/>
      <c r="E32" s="5"/>
      <c r="F32" s="5"/>
      <c r="G32" s="5"/>
      <c r="H32" s="5"/>
      <c r="I32" s="5"/>
    </row>
    <row r="33" ht="15.75" customHeight="1">
      <c r="A33" s="5"/>
      <c r="B33" s="5"/>
      <c r="C33" s="5"/>
      <c r="D33" s="5"/>
      <c r="E33" s="5"/>
      <c r="F33" s="5"/>
      <c r="G33" s="5"/>
      <c r="H33" s="5"/>
      <c r="I33" s="5"/>
    </row>
    <row r="34" ht="15.75" customHeight="1">
      <c r="A34" s="35" t="s">
        <v>98</v>
      </c>
      <c r="E34" s="5"/>
      <c r="F34" s="5"/>
      <c r="G34" s="5"/>
      <c r="H34" s="5"/>
      <c r="I34" s="5"/>
    </row>
    <row r="35" ht="15.75" customHeight="1">
      <c r="A35" s="3" t="s">
        <v>95</v>
      </c>
      <c r="B35" s="6">
        <f>Parametros!$B$9</f>
        <v>0</v>
      </c>
      <c r="C35" s="3" t="s">
        <v>99</v>
      </c>
      <c r="D35" s="5"/>
      <c r="E35" s="5"/>
      <c r="F35" s="5"/>
      <c r="G35" s="5"/>
      <c r="H35" s="5"/>
      <c r="I35" s="5"/>
    </row>
    <row r="36" ht="15.75" customHeight="1">
      <c r="A36" s="3" t="s">
        <v>100</v>
      </c>
      <c r="B36" s="6">
        <f>Parametros!$B$10</f>
        <v>0</v>
      </c>
      <c r="C36" s="3" t="s">
        <v>99</v>
      </c>
      <c r="D36" s="5"/>
      <c r="E36" s="5"/>
      <c r="F36" s="5"/>
      <c r="G36" s="5"/>
      <c r="H36" s="5"/>
      <c r="I36" s="5"/>
    </row>
    <row r="37" ht="15.75" customHeight="1">
      <c r="A37" s="3" t="s">
        <v>101</v>
      </c>
      <c r="B37" s="6">
        <f>Parametros!$B$11</f>
        <v>0</v>
      </c>
      <c r="C37" s="3" t="s">
        <v>99</v>
      </c>
      <c r="D37" s="5"/>
      <c r="E37" s="5"/>
      <c r="F37" s="5"/>
      <c r="G37" s="5"/>
      <c r="H37" s="5"/>
      <c r="I37" s="5"/>
    </row>
    <row r="38" ht="15.75" customHeight="1">
      <c r="A38" s="3" t="s">
        <v>19</v>
      </c>
      <c r="B38" s="6">
        <f>Parametros!$B$12</f>
        <v>0</v>
      </c>
      <c r="C38" s="3" t="s">
        <v>102</v>
      </c>
      <c r="D38" s="5" t="s">
        <v>103</v>
      </c>
      <c r="E38" s="5"/>
      <c r="F38" s="5"/>
      <c r="G38" s="5"/>
      <c r="H38" s="5"/>
      <c r="I38" s="5"/>
    </row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6">
    <mergeCell ref="A1:D1"/>
    <mergeCell ref="F1:I1"/>
    <mergeCell ref="A15:D15"/>
    <mergeCell ref="A22:D22"/>
    <mergeCell ref="F22:I22"/>
    <mergeCell ref="A34:D34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8.0"/>
    <col customWidth="1" min="2" max="2" width="34.0"/>
    <col customWidth="1" min="3" max="3" width="42.0"/>
    <col customWidth="1" min="4" max="4" width="28.0"/>
    <col customWidth="1" min="5" max="5" width="8.63"/>
    <col customWidth="1" min="6" max="6" width="17.5"/>
    <col customWidth="1" min="7" max="7" width="34.63"/>
    <col customWidth="1" min="8" max="8" width="42.63"/>
    <col customWidth="1" min="9" max="9" width="25.13"/>
    <col customWidth="1" min="10" max="26" width="8.63"/>
  </cols>
  <sheetData>
    <row r="1" ht="30.0" customHeight="1">
      <c r="A1" s="64" t="s">
        <v>106</v>
      </c>
      <c r="F1" s="65" t="s">
        <v>106</v>
      </c>
    </row>
    <row r="2" ht="30.0" customHeight="1"/>
    <row r="3" ht="30.0" customHeight="1">
      <c r="A3" s="60" t="s">
        <v>107</v>
      </c>
      <c r="B3" s="60" t="s">
        <v>108</v>
      </c>
      <c r="C3" s="60" t="s">
        <v>109</v>
      </c>
      <c r="D3" s="60" t="s">
        <v>110</v>
      </c>
      <c r="F3" s="62" t="s">
        <v>107</v>
      </c>
      <c r="G3" s="62" t="s">
        <v>108</v>
      </c>
      <c r="H3" s="62" t="s">
        <v>109</v>
      </c>
      <c r="I3" s="62" t="s">
        <v>110</v>
      </c>
    </row>
    <row r="4" ht="30.0" customHeight="1">
      <c r="A4" s="3" t="s">
        <v>111</v>
      </c>
      <c r="B4" s="5" t="s">
        <v>112</v>
      </c>
      <c r="C4" s="5" t="s">
        <v>113</v>
      </c>
      <c r="D4" s="5" t="s">
        <v>114</v>
      </c>
      <c r="F4" s="3" t="s">
        <v>111</v>
      </c>
      <c r="G4" s="10" t="s">
        <v>115</v>
      </c>
      <c r="H4" s="10" t="s">
        <v>116</v>
      </c>
      <c r="I4" s="10" t="s">
        <v>117</v>
      </c>
    </row>
    <row r="5" ht="30.0" customHeight="1">
      <c r="A5" s="3" t="s">
        <v>118</v>
      </c>
      <c r="B5" s="5" t="s">
        <v>119</v>
      </c>
      <c r="C5" s="10" t="s">
        <v>120</v>
      </c>
      <c r="D5" s="5" t="s">
        <v>121</v>
      </c>
      <c r="F5" s="3" t="s">
        <v>118</v>
      </c>
      <c r="G5" s="10" t="s">
        <v>122</v>
      </c>
      <c r="H5" s="10" t="s">
        <v>123</v>
      </c>
      <c r="I5" s="5" t="s">
        <v>121</v>
      </c>
    </row>
    <row r="6" ht="30.0" customHeight="1">
      <c r="A6" s="3" t="s">
        <v>124</v>
      </c>
      <c r="B6" s="5" t="s">
        <v>125</v>
      </c>
      <c r="C6" s="5" t="s">
        <v>126</v>
      </c>
      <c r="D6" s="5" t="s">
        <v>127</v>
      </c>
      <c r="F6" s="3" t="s">
        <v>124</v>
      </c>
      <c r="G6" s="5" t="s">
        <v>125</v>
      </c>
      <c r="H6" s="10" t="s">
        <v>128</v>
      </c>
      <c r="I6" s="5" t="s">
        <v>127</v>
      </c>
    </row>
    <row r="7" ht="30.0" customHeight="1">
      <c r="A7" s="3" t="s">
        <v>129</v>
      </c>
      <c r="B7" s="5" t="s">
        <v>130</v>
      </c>
      <c r="C7" s="5" t="s">
        <v>131</v>
      </c>
      <c r="D7" s="5" t="s">
        <v>132</v>
      </c>
      <c r="F7" s="3" t="s">
        <v>129</v>
      </c>
      <c r="G7" s="5" t="s">
        <v>130</v>
      </c>
      <c r="H7" s="10" t="s">
        <v>133</v>
      </c>
      <c r="I7" s="5" t="s">
        <v>132</v>
      </c>
    </row>
    <row r="8" ht="30.0" customHeight="1">
      <c r="A8" s="3" t="s">
        <v>134</v>
      </c>
      <c r="B8" s="5" t="s">
        <v>135</v>
      </c>
      <c r="C8" s="5" t="s">
        <v>136</v>
      </c>
      <c r="D8" s="5" t="s">
        <v>137</v>
      </c>
      <c r="F8" s="3" t="s">
        <v>134</v>
      </c>
      <c r="G8" s="5" t="s">
        <v>135</v>
      </c>
      <c r="H8" s="5" t="s">
        <v>136</v>
      </c>
      <c r="I8" s="5" t="s">
        <v>137</v>
      </c>
    </row>
    <row r="9" ht="30.0" customHeight="1">
      <c r="A9" s="3" t="s">
        <v>138</v>
      </c>
      <c r="B9" s="5" t="s">
        <v>139</v>
      </c>
      <c r="C9" s="5" t="s">
        <v>140</v>
      </c>
      <c r="D9" s="5" t="s">
        <v>141</v>
      </c>
      <c r="F9" s="3" t="s">
        <v>138</v>
      </c>
      <c r="G9" s="5" t="s">
        <v>139</v>
      </c>
      <c r="H9" s="5" t="s">
        <v>140</v>
      </c>
      <c r="I9" s="5" t="s">
        <v>141</v>
      </c>
    </row>
    <row r="10" ht="30.0" customHeight="1"/>
    <row r="11" ht="30.0" customHeight="1">
      <c r="A11" s="66" t="s">
        <v>142</v>
      </c>
      <c r="B11" s="66" t="s">
        <v>143</v>
      </c>
      <c r="C11" s="66"/>
      <c r="D11" s="66"/>
      <c r="F11" s="67" t="s">
        <v>142</v>
      </c>
      <c r="G11" s="67" t="s">
        <v>143</v>
      </c>
      <c r="H11" s="67"/>
      <c r="I11" s="67"/>
    </row>
    <row r="12" ht="30.0" customHeight="1">
      <c r="A12" s="3" t="s">
        <v>144</v>
      </c>
      <c r="B12" s="5" t="s">
        <v>145</v>
      </c>
      <c r="F12" s="3" t="s">
        <v>144</v>
      </c>
      <c r="G12" s="5" t="s">
        <v>145</v>
      </c>
    </row>
    <row r="13" ht="30.0" customHeight="1">
      <c r="A13" s="3" t="s">
        <v>146</v>
      </c>
      <c r="B13" s="5" t="s">
        <v>147</v>
      </c>
      <c r="F13" s="3" t="s">
        <v>146</v>
      </c>
      <c r="G13" s="5" t="s">
        <v>147</v>
      </c>
    </row>
    <row r="14" ht="30.0" customHeight="1">
      <c r="A14" s="3" t="s">
        <v>148</v>
      </c>
      <c r="B14" s="10" t="s">
        <v>149</v>
      </c>
      <c r="F14" s="3" t="s">
        <v>148</v>
      </c>
      <c r="G14" s="5" t="s">
        <v>150</v>
      </c>
    </row>
    <row r="15" ht="30.0" customHeight="1">
      <c r="A15" s="3" t="s">
        <v>151</v>
      </c>
      <c r="B15" s="5" t="s">
        <v>152</v>
      </c>
      <c r="F15" s="3" t="s">
        <v>151</v>
      </c>
      <c r="G15" s="5" t="s">
        <v>152</v>
      </c>
    </row>
    <row r="16" ht="30.0" customHeight="1">
      <c r="A16" s="3" t="s">
        <v>153</v>
      </c>
      <c r="B16" s="5" t="s">
        <v>44</v>
      </c>
      <c r="F16" s="3" t="s">
        <v>153</v>
      </c>
      <c r="G16" s="5" t="s">
        <v>44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D1"/>
    <mergeCell ref="F1:I1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28.0"/>
    <col customWidth="1" min="2" max="3" width="12.0"/>
    <col customWidth="1" min="4" max="5" width="16.0"/>
    <col customWidth="1" min="6" max="6" width="42.0"/>
    <col customWidth="1" min="7" max="26" width="8.63"/>
  </cols>
  <sheetData>
    <row r="1">
      <c r="A1" s="32" t="s">
        <v>154</v>
      </c>
    </row>
    <row r="2">
      <c r="A2" s="5"/>
      <c r="B2" s="5"/>
      <c r="C2" s="5"/>
      <c r="D2" s="5"/>
      <c r="E2" s="5"/>
      <c r="F2" s="5"/>
    </row>
    <row r="3">
      <c r="A3" s="60" t="s">
        <v>155</v>
      </c>
      <c r="B3" s="60" t="s">
        <v>94</v>
      </c>
      <c r="C3" s="60" t="s">
        <v>156</v>
      </c>
      <c r="D3" s="60" t="s">
        <v>157</v>
      </c>
      <c r="E3" s="60" t="s">
        <v>158</v>
      </c>
      <c r="F3" s="60" t="s">
        <v>159</v>
      </c>
    </row>
    <row r="4">
      <c r="A4" s="5" t="s">
        <v>160</v>
      </c>
      <c r="B4" s="4">
        <v>100.0</v>
      </c>
      <c r="C4" s="4">
        <v>1.0</v>
      </c>
      <c r="D4" s="6">
        <f>IF(C4=1,Parametros!$B$5+(B4*Parametros!$B$6),IF(C4=2,(Parametros!$B$5+(B4*Parametros!$B$6))*(1+Parametros!$B$7),(Parametros!$B$5+(B4*Parametros!$B$6))*(1+Parametros!$B$8)))</f>
        <v>3475</v>
      </c>
      <c r="E4" s="6">
        <f>IF(C4=1,Parametros!$B$9,IF(C4=2,Parametros!$B$10,Parametros!$B$11))</f>
        <v>0</v>
      </c>
      <c r="F4" s="5" t="s">
        <v>161</v>
      </c>
    </row>
    <row r="5">
      <c r="A5" s="5" t="s">
        <v>162</v>
      </c>
      <c r="B5" s="4">
        <v>150.0</v>
      </c>
      <c r="C5" s="4">
        <v>2.0</v>
      </c>
      <c r="D5" s="6">
        <f>IF(C5=1,Parametros!$B$5+(B5*Parametros!$B$6),IF(C5=2,(Parametros!$B$5+(B5*Parametros!$B$6))*(1+Parametros!$B$7),(Parametros!$B$5+(B5*Parametros!$B$6))*(1+Parametros!$B$8)))</f>
        <v>4318.125</v>
      </c>
      <c r="E5" s="6">
        <f>IF(C5=1,Parametros!$B$9,IF(C5=2,Parametros!$B$10,Parametros!$B$11))</f>
        <v>0</v>
      </c>
      <c r="F5" s="5" t="s">
        <v>163</v>
      </c>
    </row>
    <row r="6">
      <c r="A6" s="5" t="s">
        <v>164</v>
      </c>
      <c r="B6" s="4">
        <v>200.0</v>
      </c>
      <c r="C6" s="4">
        <v>2.0</v>
      </c>
      <c r="D6" s="6">
        <f>IF(C6=1,Parametros!$B$5+(B6*Parametros!$B$6),IF(C6=2,(Parametros!$B$5+(B6*Parametros!$B$6))*(1+Parametros!$B$7),(Parametros!$B$5+(B6*Parametros!$B$6))*(1+Parametros!$B$8)))</f>
        <v>4987.5</v>
      </c>
      <c r="E6" s="6">
        <f>IF(C6=1,Parametros!$B$9,IF(C6=2,Parametros!$B$10,Parametros!$B$11))</f>
        <v>0</v>
      </c>
      <c r="F6" s="5" t="s">
        <v>165</v>
      </c>
    </row>
    <row r="7">
      <c r="A7" s="5" t="s">
        <v>166</v>
      </c>
      <c r="B7" s="4">
        <v>250.0</v>
      </c>
      <c r="C7" s="4">
        <v>3.0</v>
      </c>
      <c r="D7" s="6">
        <f>IF(C7=1,Parametros!$B$5+(B7*Parametros!$B$6),IF(C7=2,(Parametros!$B$5+(B7*Parametros!$B$6))*(1+Parametros!$B$7),(Parametros!$B$5+(B7*Parametros!$B$6))*(1+Parametros!$B$8)))</f>
        <v>5926.25</v>
      </c>
      <c r="E7" s="6">
        <f>IF(C7=1,Parametros!$B$9,IF(C7=2,Parametros!$B$10,Parametros!$B$11))</f>
        <v>0</v>
      </c>
      <c r="F7" s="5" t="s">
        <v>167</v>
      </c>
    </row>
    <row r="8">
      <c r="A8" s="5" t="s">
        <v>168</v>
      </c>
      <c r="B8" s="4">
        <v>300.0</v>
      </c>
      <c r="C8" s="4">
        <v>3.0</v>
      </c>
      <c r="D8" s="6">
        <f>IF(C8=1,Parametros!$B$5+(B8*Parametros!$B$6),IF(C8=2,(Parametros!$B$5+(B8*Parametros!$B$6))*(1+Parametros!$B$7),(Parametros!$B$5+(B8*Parametros!$B$6))*(1+Parametros!$B$8)))</f>
        <v>6627.5</v>
      </c>
      <c r="E8" s="6">
        <f>IF(C8=1,Parametros!$B$9,IF(C8=2,Parametros!$B$10,Parametros!$B$11))</f>
        <v>0</v>
      </c>
      <c r="F8" s="5" t="s">
        <v>169</v>
      </c>
    </row>
    <row r="9">
      <c r="A9" s="5"/>
      <c r="B9" s="5"/>
      <c r="C9" s="5"/>
      <c r="D9" s="5"/>
      <c r="E9" s="5"/>
      <c r="F9" s="5"/>
    </row>
    <row r="10">
      <c r="A10" s="5"/>
      <c r="B10" s="5"/>
      <c r="C10" s="5"/>
      <c r="D10" s="5"/>
      <c r="E10" s="5"/>
      <c r="F10" s="5"/>
    </row>
    <row r="11">
      <c r="A11" s="34" t="s">
        <v>170</v>
      </c>
    </row>
    <row r="12">
      <c r="A12" s="5" t="s">
        <v>171</v>
      </c>
    </row>
    <row r="13">
      <c r="A13" s="5"/>
      <c r="B13" s="5"/>
      <c r="C13" s="5"/>
      <c r="D13" s="5"/>
      <c r="E13" s="5"/>
      <c r="F13" s="5"/>
    </row>
    <row r="14">
      <c r="A14" s="34" t="s">
        <v>172</v>
      </c>
    </row>
    <row r="15">
      <c r="A15" s="5" t="s">
        <v>173</v>
      </c>
    </row>
    <row r="21" ht="15.75" customHeight="1"/>
    <row r="22" ht="15.75" customHeight="1"/>
    <row r="23" ht="15.75" customHeight="1"/>
    <row r="24" ht="15.75" customHeight="1"/>
    <row r="25" ht="15.75" customHeight="1"/>
    <row r="26" ht="15.75" customHeight="1"/>
    <row r="27" ht="15.75" customHeight="1"/>
    <row r="28" ht="15.75" customHeight="1"/>
    <row r="29" ht="15.75" customHeight="1"/>
    <row r="30" ht="15.75" customHeight="1"/>
    <row r="31" ht="15.75" customHeight="1"/>
    <row r="32" ht="15.75" customHeight="1"/>
    <row r="33" ht="15.75" customHeight="1"/>
    <row r="34" ht="15.75" customHeight="1"/>
    <row r="35" ht="15.75" customHeight="1"/>
    <row r="36" ht="15.75" customHeight="1"/>
    <row r="37" ht="15.75" customHeight="1"/>
    <row r="38" ht="15.75" customHeight="1"/>
    <row r="39" ht="15.75" customHeight="1"/>
    <row r="40" ht="15.75" customHeight="1"/>
    <row r="41" ht="15.75" customHeight="1"/>
    <row r="42" ht="15.75" customHeight="1"/>
    <row r="43" ht="15.75" customHeight="1"/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5">
    <mergeCell ref="A1:F1"/>
    <mergeCell ref="A11:F11"/>
    <mergeCell ref="A12:F12"/>
    <mergeCell ref="A14:F14"/>
    <mergeCell ref="A15:F15"/>
  </mergeCells>
  <printOptions/>
  <pageMargins bottom="0.75" footer="0.0" header="0.0" left="0.7" right="0.7" top="0.75"/>
  <pageSetup orientation="landscape"/>
  <drawing r:id="rId1"/>
</worksheet>
</file>